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66988E7B-F1D8-4D20-8918-03E0BD1A00D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ontents" sheetId="5" r:id="rId1"/>
    <sheet name="1. Rates" sheetId="7" r:id="rId2"/>
    <sheet name="2. Chicago Fed Real-Time UR" sheetId="8" r:id="rId3"/>
    <sheet name="3. Real-Time UR Contributions" sheetId="11" r:id="rId4"/>
    <sheet name="4. Real-Time UR Probs" sheetId="9" r:id="rId5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2" i="9" l="1"/>
  <c r="AA2" i="9"/>
  <c r="Z2" i="9"/>
  <c r="Y2" i="9"/>
  <c r="X2" i="9"/>
  <c r="W2" i="9"/>
  <c r="U2" i="9"/>
  <c r="T2" i="9"/>
  <c r="S2" i="9"/>
  <c r="R2" i="9"/>
  <c r="Q2" i="9"/>
  <c r="P2" i="9"/>
  <c r="M2" i="9"/>
  <c r="L2" i="9"/>
  <c r="K2" i="9"/>
  <c r="A71" i="5"/>
  <c r="A70" i="5"/>
  <c r="A69" i="5"/>
  <c r="A68" i="5"/>
  <c r="A67" i="5"/>
  <c r="A66" i="5"/>
  <c r="A65" i="5"/>
  <c r="A63" i="5"/>
  <c r="A62" i="5"/>
  <c r="A61" i="5"/>
  <c r="A60" i="5"/>
  <c r="A59" i="5"/>
  <c r="A58" i="5"/>
  <c r="A53" i="5"/>
  <c r="A52" i="5"/>
  <c r="A51" i="5"/>
</calcChain>
</file>

<file path=xl/sharedStrings.xml><?xml version="1.0" encoding="utf-8"?>
<sst xmlns="http://schemas.openxmlformats.org/spreadsheetml/2006/main" count="181" uniqueCount="138">
  <si>
    <t>Key</t>
  </si>
  <si>
    <t>Advance</t>
  </si>
  <si>
    <t>Final</t>
  </si>
  <si>
    <t>Chicago Fed Hiring Rate for Unemployed Workers</t>
  </si>
  <si>
    <t>release</t>
  </si>
  <si>
    <t>&lt;=-0.3 pp</t>
  </si>
  <si>
    <t>-0.2 pp</t>
  </si>
  <si>
    <t>-0.1 pp</t>
  </si>
  <si>
    <t>No change</t>
  </si>
  <si>
    <t>+0.1 pp</t>
  </si>
  <si>
    <t>+0.2 pp</t>
  </si>
  <si>
    <t>&gt;= 0.3 pp</t>
  </si>
  <si>
    <t>This file includes data for the Chicago Fed Labor Market Indicators release.</t>
  </si>
  <si>
    <t>layoffs_other_seps</t>
  </si>
  <si>
    <t>hiring_rate_uw</t>
  </si>
  <si>
    <t>Chicago Fed Layoffs and Other Separations Rate</t>
  </si>
  <si>
    <t>fcr</t>
  </si>
  <si>
    <t>Model-implied flow-consistent unemployment rate</t>
  </si>
  <si>
    <t>Advance or final</t>
  </si>
  <si>
    <t>Model-implied probability of a 0.2 percentage point decrease in the next BLS-reported unemployment rate</t>
  </si>
  <si>
    <t>Model-implied probability of a 0.1 percentage point decrease in the next BLS-reported unemployment rate</t>
  </si>
  <si>
    <t>Model-implied probability of no change in the next BLS-reported unemployment rate</t>
  </si>
  <si>
    <t>Model-implied probability of a 0.1 percentage point increase in the next BLS-reported unemployment rate</t>
  </si>
  <si>
    <t>Model-implied probability of a 0.2 percentage point increase in the next BLS-reported unemployment rate</t>
  </si>
  <si>
    <t>Model-implied probability of a 0.3 percentage point or greater increase in the next BLS-reported unemployment rate</t>
  </si>
  <si>
    <t>1. Rates (percent)</t>
  </si>
  <si>
    <t>2. Chicago Fed Real-Time UR Forecast (percent)</t>
  </si>
  <si>
    <t>16th percentile real-time unemployment rate forecast (advance)</t>
  </si>
  <si>
    <t>25th percentile real-time unemployment rate forecast (advance)</t>
  </si>
  <si>
    <t>50th percentile real-time unemployment rate forecast (advance) (official estimate)</t>
  </si>
  <si>
    <t>75th percentile real-time unemployment rate forecast (advance)</t>
  </si>
  <si>
    <t>84th percentile real-time unemployment rate forecast (advance)</t>
  </si>
  <si>
    <t>16th percentile real-time unemployment rate forecast (final)</t>
  </si>
  <si>
    <t>25th percentile real-time unemployment rate forecast (final)</t>
  </si>
  <si>
    <t>50th percentile real-time unemployment rate forecast (final) (official estimate)</t>
  </si>
  <si>
    <t>75th percentile real-time unemployment rate forecast (final)</t>
  </si>
  <si>
    <t>84th percentile real-time unemployment rate forecast (final)</t>
  </si>
  <si>
    <t>50th percentile real-time unemployment rate forecast for the indicated release</t>
  </si>
  <si>
    <t>Contribution to the 50th percentile real-time unemployment rate forecast by the Chicago Fed Layoffs and Other Separations Rate</t>
  </si>
  <si>
    <t>Contribution to the 50th percentile real-time unemployment rate forecast by the Chicago Fed Hiring Rate for Unemployed Workers</t>
  </si>
  <si>
    <t>3. Real-Time UR Forecast Contributions (percentage points)</t>
  </si>
  <si>
    <t>4. Real-Time UR Forecast Probabilities (percentage points)</t>
  </si>
  <si>
    <t>forecast16a</t>
  </si>
  <si>
    <t>forecast25a</t>
  </si>
  <si>
    <t>forecast50a</t>
  </si>
  <si>
    <t>forecast75a</t>
  </si>
  <si>
    <t>forecast84a</t>
  </si>
  <si>
    <t>forecast16f</t>
  </si>
  <si>
    <t>forecast25f</t>
  </si>
  <si>
    <t>forecast50f</t>
  </si>
  <si>
    <t>forecast75f</t>
  </si>
  <si>
    <t>forecast84f</t>
  </si>
  <si>
    <t>forecast50</t>
  </si>
  <si>
    <t>Forecast Contributions</t>
  </si>
  <si>
    <t>date</t>
  </si>
  <si>
    <t>Bureau of Labor Statistics reference week (endpoint)</t>
  </si>
  <si>
    <t>&lt;--- contributions to the change in the unemployment rate forecast since August 2025, the final month of pre-shutdown data</t>
  </si>
  <si>
    <t>1- Month Forecast Probabilities</t>
  </si>
  <si>
    <t>&lt;-- probability of 2-month changes since August 2025</t>
  </si>
  <si>
    <t>&lt;= -0.5 pp</t>
  </si>
  <si>
    <t>&gt;= +0.5 pp</t>
  </si>
  <si>
    <t>Model-implied probability of a 0.3 percentage point or greater decrease in the next BLS-reported unemployment rate</t>
  </si>
  <si>
    <t>Model-implied probability of a 0.5 percentage point or greater decrease in the BLS unemployment rate from its last reported value</t>
  </si>
  <si>
    <t>Model-implied probability of a 0.2 to 0.4 percentage point decrease in the BLS unemployment rate from its last reported value</t>
  </si>
  <si>
    <t>Model-implied probability of a 0.1 percentage point decrease to 0.1 percentage point increase in the BLS unemployment rate from its last reported value</t>
  </si>
  <si>
    <t>Model-implied probability of a 0.2 to 0.4 percentage point increase in the BLS unemployment rate from its last reported value</t>
  </si>
  <si>
    <t>Model-implied probability of a 0.5 percentage point or greater increase in the BLS unemployment rate from its last reported value</t>
  </si>
  <si>
    <r>
      <rPr>
        <sz val="11"/>
        <color theme="1"/>
        <rFont val="Calibri"/>
        <family val="2"/>
        <scheme val="minor"/>
      </rPr>
      <t xml:space="preserve">Job-separation rate (as derived from the </t>
    </r>
    <r>
      <rPr>
        <i/>
        <sz val="11"/>
        <color theme="1"/>
        <rFont val="Calibri"/>
        <family val="2"/>
        <scheme val="minor"/>
      </rPr>
      <t>Current Population Survey</t>
    </r>
    <r>
      <rPr>
        <sz val="11"/>
        <color theme="1"/>
        <rFont val="Calibri"/>
        <family val="2"/>
        <scheme val="minor"/>
      </rPr>
      <t>)</t>
    </r>
  </si>
  <si>
    <r>
      <t xml:space="preserve">Job-finding rate (as derived from the </t>
    </r>
    <r>
      <rPr>
        <i/>
        <sz val="11"/>
        <color theme="1"/>
        <rFont val="Calibri"/>
        <family val="2"/>
        <scheme val="minor"/>
      </rPr>
      <t>Current Population Survey</t>
    </r>
    <r>
      <rPr>
        <sz val="11"/>
        <color theme="1"/>
        <rFont val="Calibri"/>
        <family val="2"/>
        <scheme val="minor"/>
      </rPr>
      <t>)</t>
    </r>
  </si>
  <si>
    <t>Shutdown Month Forecast Probabilities (October)</t>
  </si>
  <si>
    <t>Shutdown Month Forecast Probabilities (November)</t>
  </si>
  <si>
    <t>&lt;= -0.7 pp</t>
  </si>
  <si>
    <t>Model-implied probability of a 0.7 percentage point or greater decrease in the BLS unemployment rate from its last reported value</t>
  </si>
  <si>
    <t>Model-implied probability of a 0.6 percentage point decrease in the BLS unemployment rate from its last reported value</t>
  </si>
  <si>
    <t>Model-implied probability of a 0.5 percentage point decrease in the BLS unemployment rate from its last reported value</t>
  </si>
  <si>
    <t>Model-implied probability of a 0.4 percentage point decrease in the BLS unemployment rate from its last reported value</t>
  </si>
  <si>
    <t>Model-implied probability of a 0.3 percentage point decrease in the BLS unemployment rate from its last reported value</t>
  </si>
  <si>
    <t>Model-implied probability of a 0.2 percentage point decrease in the BLS unemployment rate from its last reported value</t>
  </si>
  <si>
    <t>Model-implied probability of a 0.1 percentage point decrease in the BLS unemployment rate from its last reported value</t>
  </si>
  <si>
    <t>Model-implied probability of no change in the BLS unemployment rate from its last reported value</t>
  </si>
  <si>
    <t>Model-implied probability of a 0.1 percentage point increase in the BLS unemployment rate from its last reported value</t>
  </si>
  <si>
    <t>Model-implied probability of a 0.2 percentage point increase in the BLS unemployment rate from its last reported value</t>
  </si>
  <si>
    <t>Model-implied probability of a 0.3 percentage point increase in the BLS unemployment rate from its last reported value</t>
  </si>
  <si>
    <t>Model-implied probability of a 0.4 percentage point increase in the BLS unemployment rate from its last reported value</t>
  </si>
  <si>
    <t>Model-implied probability of a 0.5 percentage point increase in the BLS unemployment rate from its last reported value</t>
  </si>
  <si>
    <t>Model-implied probability of a 0.6 percentage point increase in the BLS unemployment rate from its last reported value</t>
  </si>
  <si>
    <t>Model-implied probability of a 0.7 percentage point or greater increase in the BLS unemployment rate from its last reported value</t>
  </si>
  <si>
    <t>&gt;= 0.7 pp</t>
  </si>
  <si>
    <t>&lt;--- contributions to the change in the unemployment rate forecast since September 2025, the most recent month with available data</t>
  </si>
  <si>
    <t>BLS</t>
  </si>
  <si>
    <t>official_u3</t>
  </si>
  <si>
    <t>Bureau of Labor Statistics civilian unemployment rate (U-3), unrounded, calculated as unemployment divided by the labor force</t>
  </si>
  <si>
    <t>forecast16r</t>
  </si>
  <si>
    <t>forecast25r</t>
  </si>
  <si>
    <t>forecast50r</t>
  </si>
  <si>
    <t>forecast75r</t>
  </si>
  <si>
    <t>forecast84r</t>
  </si>
  <si>
    <t>Revised</t>
  </si>
  <si>
    <t>16th percentile real-time unemployment rate forecast (revised after release of previously unavailable data for the prior month)</t>
  </si>
  <si>
    <t>25th percentile real-time unemployment rate forecast (revised after release of previously unavailable data for the prior month)</t>
  </si>
  <si>
    <t>50th percentile real-time unemployment rate forecast (revised after release of previously unavailable data for the prior month)</t>
  </si>
  <si>
    <t>75th percentile real-time unemployment rate forecast (revised after release of previously unavailable data for the prior month)</t>
  </si>
  <si>
    <t>84th percentile real-time unemployment rate forecast (revised after release of previously unavailable data for the prior month)</t>
  </si>
  <si>
    <t>s_cps</t>
  </si>
  <si>
    <t>f_cps</t>
  </si>
  <si>
    <t>date</t>
  </si>
  <si>
    <t>layoffs_other_seps</t>
  </si>
  <si>
    <t>hiring_rate_uw</t>
  </si>
  <si>
    <t>fcr</t>
  </si>
  <si>
    <t>s</t>
  </si>
  <si>
    <t>f</t>
  </si>
  <si>
    <t>forecast16a</t>
  </si>
  <si>
    <t>forecast25a</t>
  </si>
  <si>
    <t>forecast50a</t>
  </si>
  <si>
    <t>forecast75a</t>
  </si>
  <si>
    <t>forecast84a</t>
  </si>
  <si>
    <t>forecast16f</t>
  </si>
  <si>
    <t>forecast25f</t>
  </si>
  <si>
    <t>forecast50f</t>
  </si>
  <si>
    <t>forecast75f</t>
  </si>
  <si>
    <t>forecast84f</t>
  </si>
  <si>
    <t>forecast16r</t>
  </si>
  <si>
    <t>forecast25r</t>
  </si>
  <si>
    <t>forecast50r</t>
  </si>
  <si>
    <t>forecast75r</t>
  </si>
  <si>
    <t>forecast84r</t>
  </si>
  <si>
    <t>official_u3</t>
  </si>
  <si>
    <t>release</t>
  </si>
  <si>
    <t>forecast50</t>
  </si>
  <si>
    <t>advance</t>
  </si>
  <si>
    <t>final</t>
  </si>
  <si>
    <t>&lt;= -0.3 pp</t>
  </si>
  <si>
    <t>-0.2 pp</t>
  </si>
  <si>
    <t>-0.1 pp</t>
  </si>
  <si>
    <t>No change</t>
  </si>
  <si>
    <t>+0.1 pp</t>
  </si>
  <si>
    <t>+0.2 pp</t>
  </si>
  <si>
    <t>&gt;= +0.3 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</si>
</sst>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i/>
      <sz val="11"/>
      <color theme="1"/>
      <name val="Calibri"/>
    </font>
    <font>
      <i/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left"/>
    </xf>
    <xf numFmtId="0" fontId="3" fillId="0" borderId="0" xfId="0" applyFont="1"/>
    <xf numFmtId="0" fontId="4" fillId="0" borderId="1" xfId="0" applyFont="1" applyBorder="1"/>
    <xf numFmtId="0" fontId="1" fillId="0" borderId="1" xfId="0" applyFont="1" applyBorder="1"/>
    <xf numFmtId="14" fontId="1" fillId="0" borderId="0" xfId="0" applyNumberFormat="1" applyFont="1"/>
    <xf numFmtId="0" fontId="4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4" fillId="0" borderId="0" xfId="0" applyFont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2" fontId="1" fillId="0" borderId="7" xfId="0" applyNumberFormat="1" applyFont="1" applyBorder="1"/>
    <xf numFmtId="0" fontId="1" fillId="0" borderId="7" xfId="0" applyFont="1" applyBorder="1"/>
    <xf numFmtId="2" fontId="1" fillId="0" borderId="2" xfId="0" applyNumberFormat="1" applyFont="1" applyBorder="1"/>
    <xf numFmtId="0" fontId="1" fillId="0" borderId="4" xfId="0" applyFont="1" applyBorder="1"/>
    <xf numFmtId="0" fontId="4" fillId="0" borderId="9" xfId="0" applyFont="1" applyBorder="1"/>
    <xf numFmtId="0" fontId="3" fillId="0" borderId="7" xfId="0" applyFont="1" applyBorder="1"/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1" fillId="0" borderId="12" xfId="0" applyFont="1" applyBorder="1"/>
    <xf numFmtId="2" fontId="1" fillId="0" borderId="0" xfId="0" applyNumberFormat="1" applyFont="1"/>
    <xf numFmtId="0" fontId="4" fillId="0" borderId="9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14" fontId="1" fillId="0" borderId="9" xfId="0" applyNumberFormat="1" applyFont="1" applyBorder="1"/>
    <xf numFmtId="0" fontId="1" fillId="0" borderId="9" xfId="0" applyFont="1" applyBorder="1"/>
    <xf numFmtId="164" fontId="1" fillId="0" borderId="12" xfId="0" applyNumberFormat="1" applyFont="1" applyBorder="1"/>
    <xf numFmtId="164" fontId="1" fillId="0" borderId="2" xfId="0" applyNumberFormat="1" applyFont="1" applyBorder="1"/>
    <xf numFmtId="164" fontId="1" fillId="0" borderId="0" xfId="0" applyNumberFormat="1" applyFont="1"/>
    <xf numFmtId="165" fontId="1" fillId="0" borderId="7" xfId="0" applyNumberFormat="1" applyFont="1" applyBorder="1"/>
    <xf numFmtId="165" fontId="1" fillId="0" borderId="0" xfId="0" applyNumberFormat="1" applyFont="1"/>
    <xf numFmtId="165" fontId="1" fillId="0" borderId="2" xfId="0" applyNumberFormat="1" applyFont="1" applyBorder="1"/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7" xfId="0" applyBorder="1"/>
    <xf numFmtId="0" fontId="0" fillId="0" borderId="2" xfId="0" applyBorder="1"/>
    <xf numFmtId="2" fontId="0" fillId="0" borderId="0" xfId="0" applyNumberFormat="1"/>
    <xf numFmtId="2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zoomScale="140" zoomScaleNormal="140"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C10" sqref="C10"/>
    </sheetView>
  </sheetViews>
  <sheetFormatPr defaultColWidth="11.42578125" defaultRowHeight="15" x14ac:dyDescent="0.25"/>
  <cols>
    <col min="1" max="1" width="21.5703125" customWidth="1"/>
  </cols>
  <sheetData>
    <row r="1" spans="1:7" x14ac:dyDescent="0.25">
      <c r="A1" s="2" t="s">
        <v>12</v>
      </c>
    </row>
    <row r="3" spans="1:7" x14ac:dyDescent="0.25">
      <c r="A3" s="5" t="s">
        <v>0</v>
      </c>
      <c r="B3" s="6"/>
      <c r="C3" s="6"/>
      <c r="D3" s="6"/>
      <c r="E3" s="6"/>
    </row>
    <row r="4" spans="1:7" x14ac:dyDescent="0.25">
      <c r="A4" s="2" t="s">
        <v>25</v>
      </c>
      <c r="F4" s="1"/>
      <c r="G4" s="1"/>
    </row>
    <row r="5" spans="1:7" x14ac:dyDescent="0.25">
      <c r="A5" s="4" t="s">
        <v>54</v>
      </c>
      <c r="B5" t="s">
        <v>55</v>
      </c>
      <c r="F5" s="1"/>
      <c r="G5" s="1"/>
    </row>
    <row r="6" spans="1:7" x14ac:dyDescent="0.25">
      <c r="A6" t="s">
        <v>13</v>
      </c>
      <c r="B6" t="s">
        <v>15</v>
      </c>
    </row>
    <row r="7" spans="1:7" x14ac:dyDescent="0.25">
      <c r="A7" s="1" t="s">
        <v>14</v>
      </c>
      <c r="B7" t="s">
        <v>3</v>
      </c>
    </row>
    <row r="8" spans="1:7" x14ac:dyDescent="0.25">
      <c r="A8" t="s">
        <v>16</v>
      </c>
      <c r="B8" t="s">
        <v>17</v>
      </c>
    </row>
    <row r="9" spans="1:7" x14ac:dyDescent="0.25">
      <c r="A9" t="s">
        <v>103</v>
      </c>
      <c r="B9" s="4" t="s">
        <v>67</v>
      </c>
    </row>
    <row r="10" spans="1:7" x14ac:dyDescent="0.25">
      <c r="A10" t="s">
        <v>104</v>
      </c>
      <c r="B10" t="s">
        <v>68</v>
      </c>
    </row>
    <row r="12" spans="1:7" x14ac:dyDescent="0.25">
      <c r="A12" s="2" t="s">
        <v>26</v>
      </c>
    </row>
    <row r="13" spans="1:7" x14ac:dyDescent="0.25">
      <c r="A13" s="4" t="s">
        <v>54</v>
      </c>
      <c r="B13" t="s">
        <v>55</v>
      </c>
      <c r="F13" s="1"/>
      <c r="G13" s="1"/>
    </row>
    <row r="14" spans="1:7" x14ac:dyDescent="0.25">
      <c r="A14" t="s">
        <v>42</v>
      </c>
      <c r="B14" t="s">
        <v>27</v>
      </c>
    </row>
    <row r="15" spans="1:7" x14ac:dyDescent="0.25">
      <c r="A15" t="s">
        <v>43</v>
      </c>
      <c r="B15" s="1" t="s">
        <v>28</v>
      </c>
    </row>
    <row r="16" spans="1:7" x14ac:dyDescent="0.25">
      <c r="A16" s="1" t="s">
        <v>44</v>
      </c>
      <c r="B16" s="1" t="s">
        <v>29</v>
      </c>
    </row>
    <row r="17" spans="1:7" x14ac:dyDescent="0.25">
      <c r="A17" t="s">
        <v>45</v>
      </c>
      <c r="B17" t="s">
        <v>30</v>
      </c>
    </row>
    <row r="18" spans="1:7" x14ac:dyDescent="0.25">
      <c r="A18" t="s">
        <v>46</v>
      </c>
      <c r="B18" t="s">
        <v>31</v>
      </c>
    </row>
    <row r="19" spans="1:7" x14ac:dyDescent="0.25">
      <c r="A19" t="s">
        <v>47</v>
      </c>
      <c r="B19" s="1" t="s">
        <v>32</v>
      </c>
    </row>
    <row r="20" spans="1:7" x14ac:dyDescent="0.25">
      <c r="A20" s="1" t="s">
        <v>48</v>
      </c>
      <c r="B20" s="1" t="s">
        <v>33</v>
      </c>
    </row>
    <row r="21" spans="1:7" x14ac:dyDescent="0.25">
      <c r="A21" s="1" t="s">
        <v>49</v>
      </c>
      <c r="B21" s="1" t="s">
        <v>34</v>
      </c>
    </row>
    <row r="22" spans="1:7" x14ac:dyDescent="0.25">
      <c r="A22" t="s">
        <v>50</v>
      </c>
      <c r="B22" t="s">
        <v>35</v>
      </c>
    </row>
    <row r="23" spans="1:7" x14ac:dyDescent="0.25">
      <c r="A23" t="s">
        <v>51</v>
      </c>
      <c r="B23" t="s">
        <v>36</v>
      </c>
    </row>
    <row r="24" spans="1:7" x14ac:dyDescent="0.25">
      <c r="A24" t="s">
        <v>92</v>
      </c>
      <c r="B24" s="1" t="s">
        <v>98</v>
      </c>
    </row>
    <row r="25" spans="1:7" x14ac:dyDescent="0.25">
      <c r="A25" s="1" t="s">
        <v>93</v>
      </c>
      <c r="B25" s="1" t="s">
        <v>99</v>
      </c>
    </row>
    <row r="26" spans="1:7" x14ac:dyDescent="0.25">
      <c r="A26" s="1" t="s">
        <v>94</v>
      </c>
      <c r="B26" s="1" t="s">
        <v>100</v>
      </c>
    </row>
    <row r="27" spans="1:7" x14ac:dyDescent="0.25">
      <c r="A27" t="s">
        <v>95</v>
      </c>
      <c r="B27" t="s">
        <v>101</v>
      </c>
    </row>
    <row r="28" spans="1:7" x14ac:dyDescent="0.25">
      <c r="A28" t="s">
        <v>96</v>
      </c>
      <c r="B28" t="s">
        <v>102</v>
      </c>
    </row>
    <row r="29" spans="1:7" x14ac:dyDescent="0.25">
      <c r="A29" t="s">
        <v>90</v>
      </c>
      <c r="B29" t="s">
        <v>91</v>
      </c>
    </row>
    <row r="31" spans="1:7" x14ac:dyDescent="0.25">
      <c r="A31" s="2" t="s">
        <v>40</v>
      </c>
    </row>
    <row r="32" spans="1:7" x14ac:dyDescent="0.25">
      <c r="A32" s="4" t="s">
        <v>54</v>
      </c>
      <c r="B32" t="s">
        <v>55</v>
      </c>
      <c r="F32" s="1"/>
      <c r="G32" s="1"/>
    </row>
    <row r="33" spans="1:7" x14ac:dyDescent="0.25">
      <c r="A33" t="s">
        <v>4</v>
      </c>
      <c r="B33" t="s">
        <v>18</v>
      </c>
    </row>
    <row r="34" spans="1:7" x14ac:dyDescent="0.25">
      <c r="A34" t="s">
        <v>13</v>
      </c>
      <c r="B34" t="s">
        <v>38</v>
      </c>
    </row>
    <row r="35" spans="1:7" x14ac:dyDescent="0.25">
      <c r="A35" t="s">
        <v>14</v>
      </c>
      <c r="B35" t="s">
        <v>39</v>
      </c>
    </row>
    <row r="36" spans="1:7" x14ac:dyDescent="0.25">
      <c r="A36" t="s">
        <v>52</v>
      </c>
      <c r="B36" t="s">
        <v>37</v>
      </c>
    </row>
    <row r="38" spans="1:7" x14ac:dyDescent="0.25">
      <c r="A38" s="2" t="s">
        <v>41</v>
      </c>
    </row>
    <row r="39" spans="1:7" x14ac:dyDescent="0.25">
      <c r="A39" s="4" t="s">
        <v>54</v>
      </c>
      <c r="B39" t="s">
        <v>55</v>
      </c>
      <c r="F39" s="1"/>
      <c r="G39" s="1"/>
    </row>
    <row r="40" spans="1:7" x14ac:dyDescent="0.25">
      <c r="A40" t="s">
        <v>4</v>
      </c>
      <c r="B40" t="s">
        <v>18</v>
      </c>
    </row>
    <row r="41" spans="1:7" x14ac:dyDescent="0.25">
      <c r="A41" t="s">
        <v>5</v>
      </c>
      <c r="B41" t="s">
        <v>61</v>
      </c>
    </row>
    <row r="42" spans="1:7" x14ac:dyDescent="0.25">
      <c r="A42" t="s">
        <v>6</v>
      </c>
      <c r="B42" t="s">
        <v>19</v>
      </c>
    </row>
    <row r="43" spans="1:7" x14ac:dyDescent="0.25">
      <c r="A43" t="s">
        <v>7</v>
      </c>
      <c r="B43" t="s">
        <v>20</v>
      </c>
    </row>
    <row r="44" spans="1:7" x14ac:dyDescent="0.25">
      <c r="A44" t="s">
        <v>8</v>
      </c>
      <c r="B44" t="s">
        <v>21</v>
      </c>
    </row>
    <row r="45" spans="1:7" x14ac:dyDescent="0.25">
      <c r="A45" t="s">
        <v>9</v>
      </c>
      <c r="B45" t="s">
        <v>22</v>
      </c>
    </row>
    <row r="46" spans="1:7" x14ac:dyDescent="0.25">
      <c r="A46" t="s">
        <v>10</v>
      </c>
      <c r="B46" t="s">
        <v>23</v>
      </c>
    </row>
    <row r="47" spans="1:7" x14ac:dyDescent="0.25">
      <c r="A47" t="s">
        <v>11</v>
      </c>
      <c r="B47" t="s">
        <v>24</v>
      </c>
    </row>
    <row r="49" spans="1:2" x14ac:dyDescent="0.25">
      <c r="A49" s="4" t="s">
        <v>69</v>
      </c>
    </row>
    <row r="50" spans="1:2" x14ac:dyDescent="0.25">
      <c r="A50" s="3" t="s">
        <v>59</v>
      </c>
      <c r="B50" t="s">
        <v>62</v>
      </c>
    </row>
    <row r="51" spans="1:2" x14ac:dyDescent="0.25">
      <c r="A51" s="3" t="str">
        <f>"-0.4 to -0.2 pp"</f>
        <v>-0.4 to -0.2 pp</v>
      </c>
      <c r="B51" t="s">
        <v>63</v>
      </c>
    </row>
    <row r="52" spans="1:2" x14ac:dyDescent="0.25">
      <c r="A52" s="3" t="str">
        <f>"-0.1 to +0.1 pp"</f>
        <v>-0.1 to +0.1 pp</v>
      </c>
      <c r="B52" t="s">
        <v>64</v>
      </c>
    </row>
    <row r="53" spans="1:2" x14ac:dyDescent="0.25">
      <c r="A53" s="3" t="str">
        <f>"+0.2 to +0.4 pp"</f>
        <v>+0.2 to +0.4 pp</v>
      </c>
      <c r="B53" t="s">
        <v>65</v>
      </c>
    </row>
    <row r="54" spans="1:2" x14ac:dyDescent="0.25">
      <c r="A54" s="3" t="s">
        <v>60</v>
      </c>
      <c r="B54" t="s">
        <v>66</v>
      </c>
    </row>
    <row r="56" spans="1:2" x14ac:dyDescent="0.25">
      <c r="A56" s="4" t="s">
        <v>70</v>
      </c>
    </row>
    <row r="57" spans="1:2" x14ac:dyDescent="0.25">
      <c r="A57" s="3" t="s">
        <v>71</v>
      </c>
      <c r="B57" t="s">
        <v>72</v>
      </c>
    </row>
    <row r="58" spans="1:2" x14ac:dyDescent="0.25">
      <c r="A58" t="str">
        <f>"-0.6 pp"</f>
        <v>-0.6 pp</v>
      </c>
      <c r="B58" t="s">
        <v>73</v>
      </c>
    </row>
    <row r="59" spans="1:2" x14ac:dyDescent="0.25">
      <c r="A59" t="str">
        <f>"-0.5 pp"</f>
        <v>-0.5 pp</v>
      </c>
      <c r="B59" t="s">
        <v>74</v>
      </c>
    </row>
    <row r="60" spans="1:2" x14ac:dyDescent="0.25">
      <c r="A60" t="str">
        <f>"-0.4 pp"</f>
        <v>-0.4 pp</v>
      </c>
      <c r="B60" t="s">
        <v>75</v>
      </c>
    </row>
    <row r="61" spans="1:2" x14ac:dyDescent="0.25">
      <c r="A61" t="str">
        <f>"-0.3 pp"</f>
        <v>-0.3 pp</v>
      </c>
      <c r="B61" t="s">
        <v>76</v>
      </c>
    </row>
    <row r="62" spans="1:2" x14ac:dyDescent="0.25">
      <c r="A62" t="str">
        <f>"-0.2 pp"</f>
        <v>-0.2 pp</v>
      </c>
      <c r="B62" t="s">
        <v>77</v>
      </c>
    </row>
    <row r="63" spans="1:2" x14ac:dyDescent="0.25">
      <c r="A63" t="str">
        <f>"-0.1 pp"</f>
        <v>-0.1 pp</v>
      </c>
      <c r="B63" t="s">
        <v>78</v>
      </c>
    </row>
    <row r="64" spans="1:2" x14ac:dyDescent="0.25">
      <c r="A64" t="s">
        <v>8</v>
      </c>
      <c r="B64" t="s">
        <v>79</v>
      </c>
    </row>
    <row r="65" spans="1:2" x14ac:dyDescent="0.25">
      <c r="A65" t="str">
        <f>"0.1 pp"</f>
        <v>0.1 pp</v>
      </c>
      <c r="B65" t="s">
        <v>80</v>
      </c>
    </row>
    <row r="66" spans="1:2" x14ac:dyDescent="0.25">
      <c r="A66" t="str">
        <f>"0.2 pp"</f>
        <v>0.2 pp</v>
      </c>
      <c r="B66" t="s">
        <v>81</v>
      </c>
    </row>
    <row r="67" spans="1:2" x14ac:dyDescent="0.25">
      <c r="A67" t="str">
        <f>"0.3 pp"</f>
        <v>0.3 pp</v>
      </c>
      <c r="B67" t="s">
        <v>82</v>
      </c>
    </row>
    <row r="68" spans="1:2" x14ac:dyDescent="0.25">
      <c r="A68" t="str">
        <f>"0.4 pp"</f>
        <v>0.4 pp</v>
      </c>
      <c r="B68" t="s">
        <v>83</v>
      </c>
    </row>
    <row r="69" spans="1:2" x14ac:dyDescent="0.25">
      <c r="A69" t="str">
        <f>"0.5 pp"</f>
        <v>0.5 pp</v>
      </c>
      <c r="B69" t="s">
        <v>84</v>
      </c>
    </row>
    <row r="70" spans="1:2" x14ac:dyDescent="0.25">
      <c r="A70" t="str">
        <f>"0.6 pp"</f>
        <v>0.6 pp</v>
      </c>
      <c r="B70" t="s">
        <v>85</v>
      </c>
    </row>
    <row r="71" spans="1:2" x14ac:dyDescent="0.25">
      <c r="A71" t="str">
        <f>"&gt;= 0.7 pp"</f>
        <v>&gt;= 0.7 pp</v>
      </c>
      <c r="B71" t="s">
        <v>86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2"/>
  <sheetViews>
    <sheetView zoomScaleNormal="100" workbookViewId="0">
      <pane xSplit="1" ySplit="1" topLeftCell="B165" activePane="bottomRight" state="frozen"/>
      <selection pane="topRight" activeCell="B1" sqref="B1"/>
      <selection pane="bottomLeft" activeCell="A2" sqref="A2"/>
      <selection pane="bottomRight" activeCell="D212" sqref="D212"/>
    </sheetView>
  </sheetViews>
  <sheetFormatPr defaultColWidth="11.42578125" defaultRowHeight="15" x14ac:dyDescent="0.25"/>
  <cols>
    <col min="1" max="1" width="11.85546875" customWidth="1"/>
    <col min="2" max="3" width="16.85546875" customWidth="1"/>
  </cols>
  <sheetData>
    <row r="1" spans="1:6" x14ac:dyDescent="0.25">
      <c r="A1" s="8" t="s">
        <v>105</v>
      </c>
      <c r="B1" s="8" t="s">
        <v>106</v>
      </c>
      <c r="C1" s="8" t="s">
        <v>107</v>
      </c>
      <c r="D1" s="8" t="s">
        <v>108</v>
      </c>
      <c r="E1" s="8" t="s">
        <v>109</v>
      </c>
      <c r="F1" s="8" t="s">
        <v>110</v>
      </c>
    </row>
    <row r="2" spans="1:6" x14ac:dyDescent="0.25">
      <c r="A2" s="7">
        <v>39641</v>
      </c>
      <c r="B2">
        <v>2.4067244091119502</v>
      </c>
      <c r="C2">
        <v>35.374754998905402</v>
      </c>
      <c r="D2">
        <v>6.3701169113066403</v>
      </c>
      <c r="E2">
        <v>2.7800352340979702</v>
      </c>
      <c r="F2">
        <v>42.138829640727899</v>
      </c>
    </row>
    <row r="3" spans="1:6" x14ac:dyDescent="0.25">
      <c r="A3" s="7">
        <v>39676</v>
      </c>
      <c r="B3">
        <v>2.4479826261283799</v>
      </c>
      <c r="C3">
        <v>34.458500841128597</v>
      </c>
      <c r="D3">
        <v>6.6329338266546296</v>
      </c>
      <c r="E3">
        <v>3.23000889314353</v>
      </c>
      <c r="F3">
        <v>45.6592341480276</v>
      </c>
    </row>
    <row r="4" spans="1:6" x14ac:dyDescent="0.25">
      <c r="A4" s="7">
        <v>39704</v>
      </c>
      <c r="B4">
        <v>2.4859873688996199</v>
      </c>
      <c r="C4">
        <v>33.319133292333802</v>
      </c>
      <c r="D4">
        <v>6.9431056870902301</v>
      </c>
      <c r="E4">
        <v>2.7929791294266799</v>
      </c>
      <c r="F4">
        <v>42.175731165956797</v>
      </c>
    </row>
    <row r="5" spans="1:6" x14ac:dyDescent="0.25">
      <c r="A5" s="7">
        <v>39739</v>
      </c>
      <c r="B5">
        <v>2.53724333901889</v>
      </c>
      <c r="C5">
        <v>31.8948823801293</v>
      </c>
      <c r="D5">
        <v>7.3688257289554704</v>
      </c>
      <c r="E5">
        <v>3.05803906803609</v>
      </c>
      <c r="F5">
        <v>39.486215480518197</v>
      </c>
    </row>
    <row r="6" spans="1:6" x14ac:dyDescent="0.25">
      <c r="A6" s="7">
        <v>39767</v>
      </c>
      <c r="B6">
        <v>2.6104318784147802</v>
      </c>
      <c r="C6">
        <v>30.625359291013702</v>
      </c>
      <c r="D6">
        <v>7.8542793373186202</v>
      </c>
      <c r="E6">
        <v>3.2801612051511202</v>
      </c>
      <c r="F6">
        <v>41.2427946464611</v>
      </c>
    </row>
    <row r="7" spans="1:6" x14ac:dyDescent="0.25">
      <c r="A7" s="7">
        <v>39795</v>
      </c>
      <c r="B7">
        <v>2.6722306211631399</v>
      </c>
      <c r="C7">
        <v>28.7978821802322</v>
      </c>
      <c r="D7">
        <v>8.4913283852120394</v>
      </c>
      <c r="E7">
        <v>3.0970338191158602</v>
      </c>
      <c r="F7">
        <v>33.872567520719798</v>
      </c>
    </row>
    <row r="8" spans="1:6" x14ac:dyDescent="0.25">
      <c r="A8" s="7">
        <v>39830</v>
      </c>
      <c r="B8">
        <v>2.72012047740039</v>
      </c>
      <c r="C8">
        <v>28.338321906540301</v>
      </c>
      <c r="D8">
        <v>8.75807113497385</v>
      </c>
      <c r="E8">
        <v>3.4153900734587399</v>
      </c>
      <c r="F8">
        <v>34.785845166402197</v>
      </c>
    </row>
    <row r="9" spans="1:6" x14ac:dyDescent="0.25">
      <c r="A9" s="7">
        <v>39858</v>
      </c>
      <c r="B9">
        <v>2.7971895130744802</v>
      </c>
      <c r="C9">
        <v>26.3685355079317</v>
      </c>
      <c r="D9">
        <v>9.5906736796696794</v>
      </c>
      <c r="E9">
        <v>3.2530153609995298</v>
      </c>
      <c r="F9">
        <v>30.4126602558987</v>
      </c>
    </row>
    <row r="10" spans="1:6" x14ac:dyDescent="0.25">
      <c r="A10" s="7">
        <v>39886</v>
      </c>
      <c r="B10">
        <v>2.8481340258481902</v>
      </c>
      <c r="C10">
        <v>25.374760766806698</v>
      </c>
      <c r="D10">
        <v>10.0915729827595</v>
      </c>
      <c r="E10">
        <v>3.3455934169004999</v>
      </c>
      <c r="F10">
        <v>31.566069002896</v>
      </c>
    </row>
    <row r="11" spans="1:6" x14ac:dyDescent="0.25">
      <c r="A11" s="7">
        <v>39921</v>
      </c>
      <c r="B11">
        <v>2.86622813750841</v>
      </c>
      <c r="C11">
        <v>25.034877200357201</v>
      </c>
      <c r="D11">
        <v>10.2728121441789</v>
      </c>
      <c r="E11">
        <v>3.1571785351665</v>
      </c>
      <c r="F11">
        <v>29.651785507316799</v>
      </c>
    </row>
    <row r="12" spans="1:6" x14ac:dyDescent="0.25">
      <c r="A12" s="7">
        <v>39949</v>
      </c>
      <c r="B12">
        <v>2.8680961970835899</v>
      </c>
      <c r="C12">
        <v>25.090763288872001</v>
      </c>
      <c r="D12">
        <v>10.2582732265038</v>
      </c>
      <c r="E12">
        <v>3.0223178661676999</v>
      </c>
      <c r="F12">
        <v>25.5119080773073</v>
      </c>
    </row>
    <row r="13" spans="1:6" x14ac:dyDescent="0.25">
      <c r="A13" s="7">
        <v>39977</v>
      </c>
      <c r="B13">
        <v>2.86359812135627</v>
      </c>
      <c r="C13">
        <v>25.039867949017999</v>
      </c>
      <c r="D13">
        <v>10.2625176174676</v>
      </c>
      <c r="E13">
        <v>2.9403976095063902</v>
      </c>
      <c r="F13">
        <v>26.760675674594101</v>
      </c>
    </row>
    <row r="14" spans="1:6" x14ac:dyDescent="0.25">
      <c r="A14" s="7">
        <v>40012</v>
      </c>
      <c r="B14">
        <v>2.8548125614009501</v>
      </c>
      <c r="C14">
        <v>24.672014592229701</v>
      </c>
      <c r="D14">
        <v>10.371019316784601</v>
      </c>
      <c r="E14">
        <v>3.0152984194464199</v>
      </c>
      <c r="F14">
        <v>29.388152638254901</v>
      </c>
    </row>
    <row r="15" spans="1:6" x14ac:dyDescent="0.25">
      <c r="A15" s="7">
        <v>40040</v>
      </c>
      <c r="B15">
        <v>2.82507449825812</v>
      </c>
      <c r="C15">
        <v>25.505309625133499</v>
      </c>
      <c r="D15">
        <v>9.9718891418967299</v>
      </c>
      <c r="E15">
        <v>2.7689692757697602</v>
      </c>
      <c r="F15">
        <v>24.7160924496294</v>
      </c>
    </row>
    <row r="16" spans="1:6" x14ac:dyDescent="0.25">
      <c r="A16" s="7">
        <v>40068</v>
      </c>
      <c r="B16">
        <v>2.83491991352976</v>
      </c>
      <c r="C16">
        <v>25.0236131431781</v>
      </c>
      <c r="D16">
        <v>10.176127751447201</v>
      </c>
      <c r="E16">
        <v>2.69097173095735</v>
      </c>
      <c r="F16">
        <v>23.483577911030199</v>
      </c>
    </row>
    <row r="17" spans="1:6" x14ac:dyDescent="0.25">
      <c r="A17" s="7">
        <v>40103</v>
      </c>
      <c r="B17">
        <v>2.8393669240330199</v>
      </c>
      <c r="C17">
        <v>24.821434410499499</v>
      </c>
      <c r="D17">
        <v>10.2649481831471</v>
      </c>
      <c r="E17">
        <v>3.06105413812945</v>
      </c>
      <c r="F17">
        <v>25.649730596426998</v>
      </c>
    </row>
    <row r="18" spans="1:6" x14ac:dyDescent="0.25">
      <c r="A18" s="7">
        <v>40131</v>
      </c>
      <c r="B18">
        <v>2.8214023370103898</v>
      </c>
      <c r="C18">
        <v>24.957052031985899</v>
      </c>
      <c r="D18">
        <v>10.1568010211518</v>
      </c>
      <c r="E18">
        <v>2.6582410704530099</v>
      </c>
      <c r="F18">
        <v>25.0310317070197</v>
      </c>
    </row>
    <row r="19" spans="1:6" x14ac:dyDescent="0.25">
      <c r="A19" s="7">
        <v>40159</v>
      </c>
      <c r="B19">
        <v>2.79044353777654</v>
      </c>
      <c r="C19">
        <v>25.487651224417899</v>
      </c>
      <c r="D19">
        <v>9.8678626026359293</v>
      </c>
      <c r="E19">
        <v>2.79393005620588</v>
      </c>
      <c r="F19">
        <v>25.7980170289356</v>
      </c>
    </row>
    <row r="20" spans="1:6" x14ac:dyDescent="0.25">
      <c r="A20" s="7">
        <v>40194</v>
      </c>
      <c r="B20">
        <v>2.77583092283772</v>
      </c>
      <c r="C20">
        <v>26.001538438766001</v>
      </c>
      <c r="D20">
        <v>9.6458814145165803</v>
      </c>
      <c r="E20">
        <v>2.7551809544839498</v>
      </c>
      <c r="F20">
        <v>25.860052565322199</v>
      </c>
    </row>
    <row r="21" spans="1:6" x14ac:dyDescent="0.25">
      <c r="A21" s="7">
        <v>40222</v>
      </c>
      <c r="B21">
        <v>2.7547372325045498</v>
      </c>
      <c r="C21">
        <v>26.091616753407699</v>
      </c>
      <c r="D21">
        <v>9.5496894819008507</v>
      </c>
      <c r="E21">
        <v>2.6269975068560201</v>
      </c>
      <c r="F21">
        <v>23.820388531717299</v>
      </c>
    </row>
    <row r="22" spans="1:6" x14ac:dyDescent="0.25">
      <c r="A22" s="7">
        <v>40250</v>
      </c>
      <c r="B22">
        <v>2.7432242920163699</v>
      </c>
      <c r="C22">
        <v>26.3543361265992</v>
      </c>
      <c r="D22">
        <v>9.4276779652680194</v>
      </c>
      <c r="E22">
        <v>2.5762994879490901</v>
      </c>
      <c r="F22">
        <v>23.148566766755302</v>
      </c>
    </row>
    <row r="23" spans="1:6" x14ac:dyDescent="0.25">
      <c r="A23" s="7">
        <v>40285</v>
      </c>
      <c r="B23">
        <v>2.7399105060396098</v>
      </c>
      <c r="C23">
        <v>26.972127711380399</v>
      </c>
      <c r="D23">
        <v>9.2215501541500107</v>
      </c>
      <c r="E23">
        <v>2.48886318953305</v>
      </c>
      <c r="F23">
        <v>22.294622832872999</v>
      </c>
    </row>
    <row r="24" spans="1:6" x14ac:dyDescent="0.25">
      <c r="A24" s="7">
        <v>40313</v>
      </c>
      <c r="B24">
        <v>2.7232092877399201</v>
      </c>
      <c r="C24">
        <v>27.037879262920299</v>
      </c>
      <c r="D24">
        <v>9.1502341492126202</v>
      </c>
      <c r="E24">
        <v>2.67970675055569</v>
      </c>
      <c r="F24">
        <v>27.569805109314501</v>
      </c>
    </row>
    <row r="25" spans="1:6" x14ac:dyDescent="0.25">
      <c r="A25" s="7">
        <v>40341</v>
      </c>
      <c r="B25">
        <v>2.7157408074394298</v>
      </c>
      <c r="C25">
        <v>27.3535395726682</v>
      </c>
      <c r="D25">
        <v>9.0316122404978891</v>
      </c>
      <c r="E25">
        <v>2.5809344541940602</v>
      </c>
      <c r="F25">
        <v>26.768271263131702</v>
      </c>
    </row>
    <row r="26" spans="1:6" x14ac:dyDescent="0.25">
      <c r="A26" s="7">
        <v>40376</v>
      </c>
      <c r="B26">
        <v>2.7629707935665202</v>
      </c>
      <c r="C26">
        <v>27.1206876546897</v>
      </c>
      <c r="D26">
        <v>9.2457581736540995</v>
      </c>
      <c r="E26">
        <v>2.6401779196904398</v>
      </c>
      <c r="F26">
        <v>25.136022573299599</v>
      </c>
    </row>
    <row r="27" spans="1:6" x14ac:dyDescent="0.25">
      <c r="A27" s="7">
        <v>40404</v>
      </c>
      <c r="B27">
        <v>2.7453799290171901</v>
      </c>
      <c r="C27">
        <v>26.322792318225801</v>
      </c>
      <c r="D27">
        <v>9.44462522674635</v>
      </c>
      <c r="E27">
        <v>2.4607348523616701</v>
      </c>
      <c r="F27">
        <v>22.832162572190501</v>
      </c>
    </row>
    <row r="28" spans="1:6" x14ac:dyDescent="0.25">
      <c r="A28" s="7">
        <v>40439</v>
      </c>
      <c r="B28">
        <v>2.7242449948611598</v>
      </c>
      <c r="C28">
        <v>26.562617819534601</v>
      </c>
      <c r="D28">
        <v>9.30193517867019</v>
      </c>
      <c r="E28">
        <v>2.6695206369643398</v>
      </c>
      <c r="F28">
        <v>25.870847549519901</v>
      </c>
    </row>
    <row r="29" spans="1:6" x14ac:dyDescent="0.25">
      <c r="A29" s="7">
        <v>40467</v>
      </c>
      <c r="B29">
        <v>2.7123515606915301</v>
      </c>
      <c r="C29">
        <v>26.609665090123301</v>
      </c>
      <c r="D29">
        <v>9.2502217463141605</v>
      </c>
      <c r="E29">
        <v>2.5141031063378598</v>
      </c>
      <c r="F29">
        <v>24.279837418315498</v>
      </c>
    </row>
    <row r="30" spans="1:6" x14ac:dyDescent="0.25">
      <c r="A30" s="7">
        <v>40495</v>
      </c>
      <c r="B30">
        <v>2.6991024030336699</v>
      </c>
      <c r="C30">
        <v>26.783845092248001</v>
      </c>
      <c r="D30">
        <v>9.1547916078120206</v>
      </c>
      <c r="E30">
        <v>2.6659842648673799</v>
      </c>
      <c r="F30">
        <v>21.539943432750501</v>
      </c>
    </row>
    <row r="31" spans="1:6" x14ac:dyDescent="0.25">
      <c r="A31" s="7">
        <v>40523</v>
      </c>
      <c r="B31">
        <v>2.7069187605526399</v>
      </c>
      <c r="C31">
        <v>27.2294245907975</v>
      </c>
      <c r="D31">
        <v>9.0422491778059904</v>
      </c>
      <c r="E31">
        <v>2.6244739316357899</v>
      </c>
      <c r="F31">
        <v>29.537063925991699</v>
      </c>
    </row>
    <row r="32" spans="1:6" x14ac:dyDescent="0.25">
      <c r="A32" s="7">
        <v>40558</v>
      </c>
      <c r="B32">
        <v>2.6860745970979698</v>
      </c>
      <c r="C32">
        <v>27.317003607064201</v>
      </c>
      <c r="D32">
        <v>8.9526633861366403</v>
      </c>
      <c r="E32">
        <v>2.5844489972709401</v>
      </c>
      <c r="F32">
        <v>27.510101350743302</v>
      </c>
    </row>
    <row r="33" spans="1:6" x14ac:dyDescent="0.25">
      <c r="A33" s="7">
        <v>40586</v>
      </c>
      <c r="B33">
        <v>2.6614837463085901</v>
      </c>
      <c r="C33">
        <v>27.858905286670598</v>
      </c>
      <c r="D33">
        <v>8.7203467276668398</v>
      </c>
      <c r="E33">
        <v>2.3220904777338398</v>
      </c>
      <c r="F33">
        <v>24.610186976142</v>
      </c>
    </row>
    <row r="34" spans="1:6" x14ac:dyDescent="0.25">
      <c r="A34" s="7">
        <v>40614</v>
      </c>
      <c r="B34">
        <v>2.63089504743045</v>
      </c>
      <c r="C34">
        <v>28.282565389077899</v>
      </c>
      <c r="D34">
        <v>8.5105161644194194</v>
      </c>
      <c r="E34">
        <v>2.3680480700764899</v>
      </c>
      <c r="F34">
        <v>24.690407311058699</v>
      </c>
    </row>
    <row r="35" spans="1:6" x14ac:dyDescent="0.25">
      <c r="A35" s="7">
        <v>40649</v>
      </c>
      <c r="B35">
        <v>2.62345937129236</v>
      </c>
      <c r="C35">
        <v>28.858542529945598</v>
      </c>
      <c r="D35">
        <v>8.3332037763113007</v>
      </c>
      <c r="E35">
        <v>2.6034383372416299</v>
      </c>
      <c r="F35">
        <v>24.760124209415899</v>
      </c>
    </row>
    <row r="36" spans="1:6" x14ac:dyDescent="0.25">
      <c r="A36" s="7">
        <v>40677</v>
      </c>
      <c r="B36">
        <v>2.6351385831367802</v>
      </c>
      <c r="C36">
        <v>28.294868919106399</v>
      </c>
      <c r="D36">
        <v>8.5196829743596698</v>
      </c>
      <c r="E36">
        <v>2.5218085146025699</v>
      </c>
      <c r="F36">
        <v>26.013446743869999</v>
      </c>
    </row>
    <row r="37" spans="1:6" x14ac:dyDescent="0.25">
      <c r="A37" s="7">
        <v>40712</v>
      </c>
      <c r="B37">
        <v>2.64245518185888</v>
      </c>
      <c r="C37">
        <v>28.154457521654699</v>
      </c>
      <c r="D37">
        <v>8.5802599997544693</v>
      </c>
      <c r="E37">
        <v>2.7938210615761201</v>
      </c>
      <c r="F37">
        <v>27.159941553987402</v>
      </c>
    </row>
    <row r="38" spans="1:6" x14ac:dyDescent="0.25">
      <c r="A38" s="7">
        <v>40740</v>
      </c>
      <c r="B38">
        <v>2.6591611646258202</v>
      </c>
      <c r="C38">
        <v>27.916207340419501</v>
      </c>
      <c r="D38">
        <v>8.6970698789354799</v>
      </c>
      <c r="E38">
        <v>2.4960370704375099</v>
      </c>
      <c r="F38">
        <v>26.5172673633116</v>
      </c>
    </row>
    <row r="39" spans="1:6" x14ac:dyDescent="0.25">
      <c r="A39" s="7">
        <v>40768</v>
      </c>
      <c r="B39">
        <v>2.6548592428789202</v>
      </c>
      <c r="C39">
        <v>27.475505216287701</v>
      </c>
      <c r="D39">
        <v>8.8112417175598701</v>
      </c>
      <c r="E39">
        <v>2.4530300457199399</v>
      </c>
      <c r="F39">
        <v>24.763637277645898</v>
      </c>
    </row>
    <row r="40" spans="1:6" x14ac:dyDescent="0.25">
      <c r="A40" s="7">
        <v>40803</v>
      </c>
      <c r="B40">
        <v>2.6623201937105501</v>
      </c>
      <c r="C40">
        <v>27.494731342474601</v>
      </c>
      <c r="D40">
        <v>8.8281846470171796</v>
      </c>
      <c r="E40">
        <v>2.55482629853124</v>
      </c>
      <c r="F40">
        <v>25.0753826189516</v>
      </c>
    </row>
    <row r="41" spans="1:6" x14ac:dyDescent="0.25">
      <c r="A41" s="7">
        <v>40831</v>
      </c>
      <c r="B41">
        <v>2.64317800919435</v>
      </c>
      <c r="C41">
        <v>27.722030763017901</v>
      </c>
      <c r="D41">
        <v>8.7046264987750508</v>
      </c>
      <c r="E41">
        <v>2.5450333327351</v>
      </c>
      <c r="F41">
        <v>28.404468468595098</v>
      </c>
    </row>
    <row r="42" spans="1:6" x14ac:dyDescent="0.25">
      <c r="A42" s="7">
        <v>40859</v>
      </c>
      <c r="B42">
        <v>2.6174220569169</v>
      </c>
      <c r="C42">
        <v>28.7611963376396</v>
      </c>
      <c r="D42">
        <v>8.3414190644255992</v>
      </c>
      <c r="E42">
        <v>2.4001448471716502</v>
      </c>
      <c r="F42">
        <v>27.389495775092598</v>
      </c>
    </row>
    <row r="43" spans="1:6" x14ac:dyDescent="0.25">
      <c r="A43" s="7">
        <v>40887</v>
      </c>
      <c r="B43">
        <v>2.5883427857890702</v>
      </c>
      <c r="C43">
        <v>29.533277520297698</v>
      </c>
      <c r="D43">
        <v>8.0579458978867091</v>
      </c>
      <c r="E43">
        <v>2.5444486384976801</v>
      </c>
      <c r="F43">
        <v>28.6678216237495</v>
      </c>
    </row>
    <row r="44" spans="1:6" x14ac:dyDescent="0.25">
      <c r="A44" s="7">
        <v>40922</v>
      </c>
      <c r="B44">
        <v>2.5864611702451801</v>
      </c>
      <c r="C44">
        <v>29.4506357302933</v>
      </c>
      <c r="D44">
        <v>8.0733319197898492</v>
      </c>
      <c r="E44">
        <v>2.3027087777579198</v>
      </c>
      <c r="F44">
        <v>27.680330110900901</v>
      </c>
    </row>
    <row r="45" spans="1:6" x14ac:dyDescent="0.25">
      <c r="A45" s="7">
        <v>40957</v>
      </c>
      <c r="B45">
        <v>2.5469140497164902</v>
      </c>
      <c r="C45">
        <v>30.6711846711265</v>
      </c>
      <c r="D45">
        <v>7.6672481201291802</v>
      </c>
      <c r="E45">
        <v>2.4186532553757498</v>
      </c>
      <c r="F45">
        <v>26.8319289546669</v>
      </c>
    </row>
    <row r="46" spans="1:6" x14ac:dyDescent="0.25">
      <c r="A46" s="7">
        <v>40985</v>
      </c>
      <c r="B46">
        <v>2.55354694875302</v>
      </c>
      <c r="C46">
        <v>30.571278769517399</v>
      </c>
      <c r="D46">
        <v>7.7088615362724298</v>
      </c>
      <c r="E46">
        <v>2.5467057762563701</v>
      </c>
      <c r="F46">
        <v>29.1647362894116</v>
      </c>
    </row>
    <row r="47" spans="1:6" x14ac:dyDescent="0.25">
      <c r="A47" s="7">
        <v>41013</v>
      </c>
      <c r="B47">
        <v>2.5407608040165002</v>
      </c>
      <c r="C47">
        <v>30.8440687297301</v>
      </c>
      <c r="D47">
        <v>7.6105250184015496</v>
      </c>
      <c r="E47">
        <v>2.4707529605966001</v>
      </c>
      <c r="F47">
        <v>28.063701880289901</v>
      </c>
    </row>
    <row r="48" spans="1:6" x14ac:dyDescent="0.25">
      <c r="A48" s="7">
        <v>41041</v>
      </c>
      <c r="B48">
        <v>2.54824968106719</v>
      </c>
      <c r="C48">
        <v>30.2899720682449</v>
      </c>
      <c r="D48">
        <v>7.7600111861129504</v>
      </c>
      <c r="E48">
        <v>2.3518201988946998</v>
      </c>
      <c r="F48">
        <v>26.500890981339701</v>
      </c>
    </row>
    <row r="49" spans="1:6" x14ac:dyDescent="0.25">
      <c r="A49" s="7">
        <v>41076</v>
      </c>
      <c r="B49">
        <v>2.5618021926370802</v>
      </c>
      <c r="C49">
        <v>30.177523503483702</v>
      </c>
      <c r="D49">
        <v>7.8248471468690903</v>
      </c>
      <c r="E49">
        <v>2.5629485671503498</v>
      </c>
      <c r="F49">
        <v>28.657894231372602</v>
      </c>
    </row>
    <row r="50" spans="1:6" x14ac:dyDescent="0.25">
      <c r="A50" s="7">
        <v>41104</v>
      </c>
      <c r="B50">
        <v>2.55928580091132</v>
      </c>
      <c r="C50">
        <v>30.155013766376801</v>
      </c>
      <c r="D50">
        <v>7.8231410568558104</v>
      </c>
      <c r="E50">
        <v>2.49803530448622</v>
      </c>
      <c r="F50">
        <v>28.253931534361499</v>
      </c>
    </row>
    <row r="51" spans="1:6" x14ac:dyDescent="0.25">
      <c r="A51" s="7">
        <v>41139</v>
      </c>
      <c r="B51">
        <v>2.55202319346188</v>
      </c>
      <c r="C51">
        <v>30.252510917194002</v>
      </c>
      <c r="D51">
        <v>7.7794831191731797</v>
      </c>
      <c r="E51">
        <v>2.6555043715011299</v>
      </c>
      <c r="F51">
        <v>31.442070845325201</v>
      </c>
    </row>
    <row r="52" spans="1:6" x14ac:dyDescent="0.25">
      <c r="A52" s="7">
        <v>41167</v>
      </c>
      <c r="B52">
        <v>2.55583094395078</v>
      </c>
      <c r="C52">
        <v>30.1659207747932</v>
      </c>
      <c r="D52">
        <v>7.8108011023343904</v>
      </c>
      <c r="E52">
        <v>2.3744074844670902</v>
      </c>
      <c r="F52">
        <v>30.7368340548907</v>
      </c>
    </row>
    <row r="53" spans="1:6" x14ac:dyDescent="0.25">
      <c r="A53" s="7">
        <v>41195</v>
      </c>
      <c r="B53">
        <v>2.5319047128912402</v>
      </c>
      <c r="C53">
        <v>31.164267357187899</v>
      </c>
      <c r="D53">
        <v>7.5139238594388198</v>
      </c>
      <c r="E53">
        <v>2.43638690101514</v>
      </c>
      <c r="F53">
        <v>28.975879055250701</v>
      </c>
    </row>
    <row r="54" spans="1:6" x14ac:dyDescent="0.25">
      <c r="A54" s="7">
        <v>41223</v>
      </c>
      <c r="B54">
        <v>2.5665637146072302</v>
      </c>
      <c r="C54">
        <v>31.0191343902173</v>
      </c>
      <c r="D54">
        <v>7.64183524367043</v>
      </c>
      <c r="E54">
        <v>2.4672249786845</v>
      </c>
      <c r="F54">
        <v>30.176962020229102</v>
      </c>
    </row>
    <row r="55" spans="1:6" x14ac:dyDescent="0.25">
      <c r="A55" s="7">
        <v>41251</v>
      </c>
      <c r="B55">
        <v>2.49495653881909</v>
      </c>
      <c r="C55">
        <v>32.121307566357203</v>
      </c>
      <c r="D55">
        <v>7.2074690996074402</v>
      </c>
      <c r="E55">
        <v>2.53783817587692</v>
      </c>
      <c r="F55">
        <v>27.693453696624101</v>
      </c>
    </row>
    <row r="56" spans="1:6" x14ac:dyDescent="0.25">
      <c r="A56" s="7">
        <v>41286</v>
      </c>
      <c r="B56">
        <v>2.4915203663060201</v>
      </c>
      <c r="C56">
        <v>31.9459207923686</v>
      </c>
      <c r="D56">
        <v>7.2349172368122501</v>
      </c>
      <c r="E56">
        <v>2.57894444373086</v>
      </c>
      <c r="F56">
        <v>28.5223991223633</v>
      </c>
    </row>
    <row r="57" spans="1:6" x14ac:dyDescent="0.25">
      <c r="A57" s="7">
        <v>41321</v>
      </c>
      <c r="B57">
        <v>2.4843746350421201</v>
      </c>
      <c r="C57">
        <v>32.050443527189699</v>
      </c>
      <c r="D57">
        <v>7.1938257308072302</v>
      </c>
      <c r="E57">
        <v>2.6246262603583101</v>
      </c>
      <c r="F57">
        <v>34.832246431210898</v>
      </c>
    </row>
    <row r="58" spans="1:6" x14ac:dyDescent="0.25">
      <c r="A58" s="7">
        <v>41349</v>
      </c>
      <c r="B58">
        <v>2.4634126074071601</v>
      </c>
      <c r="C58">
        <v>32.605011587541703</v>
      </c>
      <c r="D58">
        <v>7.0245888258702402</v>
      </c>
      <c r="E58">
        <v>2.3248597122069299</v>
      </c>
      <c r="F58">
        <v>30.222751370999301</v>
      </c>
    </row>
    <row r="59" spans="1:6" x14ac:dyDescent="0.25">
      <c r="A59" s="7">
        <v>41377</v>
      </c>
      <c r="B59">
        <v>2.47877059669496</v>
      </c>
      <c r="C59">
        <v>31.990094465369001</v>
      </c>
      <c r="D59">
        <v>7.1913322130906696</v>
      </c>
      <c r="E59">
        <v>2.2797348990608701</v>
      </c>
      <c r="F59">
        <v>27.5400879220273</v>
      </c>
    </row>
    <row r="60" spans="1:6" x14ac:dyDescent="0.25">
      <c r="A60" s="7">
        <v>41412</v>
      </c>
      <c r="B60">
        <v>2.4633922175528999</v>
      </c>
      <c r="C60">
        <v>32.527113898575699</v>
      </c>
      <c r="D60">
        <v>7.0401731526181601</v>
      </c>
      <c r="E60">
        <v>2.5119176271944901</v>
      </c>
      <c r="F60">
        <v>31.852005984884801</v>
      </c>
    </row>
    <row r="61" spans="1:6" x14ac:dyDescent="0.25">
      <c r="A61" s="7">
        <v>41440</v>
      </c>
      <c r="B61">
        <v>2.4640260277939299</v>
      </c>
      <c r="C61">
        <v>32.546394722907898</v>
      </c>
      <c r="D61">
        <v>7.0379789073073002</v>
      </c>
      <c r="E61">
        <v>2.4875907182693102</v>
      </c>
      <c r="F61">
        <v>29.899228868791099</v>
      </c>
    </row>
    <row r="62" spans="1:6" x14ac:dyDescent="0.25">
      <c r="A62" s="7">
        <v>41468</v>
      </c>
      <c r="B62">
        <v>2.4621616763550702</v>
      </c>
      <c r="C62">
        <v>32.721077361626001</v>
      </c>
      <c r="D62">
        <v>6.9981097354257704</v>
      </c>
      <c r="E62">
        <v>2.3636974797576</v>
      </c>
      <c r="F62">
        <v>33.058643480796398</v>
      </c>
    </row>
    <row r="63" spans="1:6" x14ac:dyDescent="0.25">
      <c r="A63" s="7">
        <v>41503</v>
      </c>
      <c r="B63">
        <v>2.4595092279847401</v>
      </c>
      <c r="C63">
        <v>32.8913965558041</v>
      </c>
      <c r="D63">
        <v>6.9574150179558396</v>
      </c>
      <c r="E63">
        <v>2.3012644668511499</v>
      </c>
      <c r="F63">
        <v>29.8711650384842</v>
      </c>
    </row>
    <row r="64" spans="1:6" x14ac:dyDescent="0.25">
      <c r="A64" s="7">
        <v>41531</v>
      </c>
      <c r="B64">
        <v>2.4353515730445698</v>
      </c>
      <c r="C64">
        <v>33.308647827997902</v>
      </c>
      <c r="D64">
        <v>6.8133158400107297</v>
      </c>
      <c r="E64">
        <v>2.43237770034498</v>
      </c>
      <c r="F64">
        <v>31.280696807792101</v>
      </c>
    </row>
    <row r="65" spans="1:6" x14ac:dyDescent="0.25">
      <c r="A65" s="7">
        <v>41559</v>
      </c>
      <c r="B65">
        <v>2.4708388251964402</v>
      </c>
      <c r="C65">
        <v>32.562989343984299</v>
      </c>
      <c r="D65">
        <v>7.0527229090255101</v>
      </c>
      <c r="E65">
        <v>2.7598914464631399</v>
      </c>
      <c r="F65">
        <v>36.018979677943598</v>
      </c>
    </row>
    <row r="66" spans="1:6" x14ac:dyDescent="0.25">
      <c r="A66" s="7">
        <v>41587</v>
      </c>
      <c r="B66">
        <v>2.44416161801594</v>
      </c>
      <c r="C66">
        <v>33.365169176914797</v>
      </c>
      <c r="D66">
        <v>6.8254881165272803</v>
      </c>
      <c r="E66">
        <v>2.25043870718588</v>
      </c>
      <c r="F66">
        <v>33.1671994630534</v>
      </c>
    </row>
    <row r="67" spans="1:6" x14ac:dyDescent="0.25">
      <c r="A67" s="7">
        <v>41615</v>
      </c>
      <c r="B67">
        <v>2.4419767387065301</v>
      </c>
      <c r="C67">
        <v>33.764507833087201</v>
      </c>
      <c r="D67">
        <v>6.7445839262973504</v>
      </c>
      <c r="E67">
        <v>2.2027106738423101</v>
      </c>
      <c r="F67">
        <v>33.666433813447298</v>
      </c>
    </row>
    <row r="68" spans="1:6" x14ac:dyDescent="0.25">
      <c r="A68" s="7">
        <v>41657</v>
      </c>
      <c r="B68">
        <v>2.4232517296502301</v>
      </c>
      <c r="C68">
        <v>34.363646136840799</v>
      </c>
      <c r="D68">
        <v>6.5872684846785097</v>
      </c>
      <c r="E68">
        <v>2.3370415033488801</v>
      </c>
      <c r="F68">
        <v>34.976200107967003</v>
      </c>
    </row>
    <row r="69" spans="1:6" x14ac:dyDescent="0.25">
      <c r="A69" s="7">
        <v>41685</v>
      </c>
      <c r="B69">
        <v>2.4086021481900799</v>
      </c>
      <c r="C69">
        <v>34.5090020990718</v>
      </c>
      <c r="D69">
        <v>6.5242645000961002</v>
      </c>
      <c r="E69">
        <v>2.1872679304828999</v>
      </c>
      <c r="F69">
        <v>29.537808153169401</v>
      </c>
    </row>
    <row r="70" spans="1:6" x14ac:dyDescent="0.25">
      <c r="A70" s="7">
        <v>41713</v>
      </c>
      <c r="B70">
        <v>2.39860349243299</v>
      </c>
      <c r="C70">
        <v>34.875079859729901</v>
      </c>
      <c r="D70">
        <v>6.4351125961202102</v>
      </c>
      <c r="E70">
        <v>2.2370420065448098</v>
      </c>
      <c r="F70">
        <v>31.4320339282778</v>
      </c>
    </row>
    <row r="71" spans="1:6" x14ac:dyDescent="0.25">
      <c r="A71" s="7">
        <v>41741</v>
      </c>
      <c r="B71">
        <v>2.37801303289854</v>
      </c>
      <c r="C71">
        <v>35.3471916219805</v>
      </c>
      <c r="D71">
        <v>6.30351261087457</v>
      </c>
      <c r="E71">
        <v>2.38157621759269</v>
      </c>
      <c r="F71">
        <v>40.978657092084497</v>
      </c>
    </row>
    <row r="72" spans="1:6" x14ac:dyDescent="0.25">
      <c r="A72" s="7">
        <v>41776</v>
      </c>
      <c r="B72">
        <v>2.3861491263112802</v>
      </c>
      <c r="C72">
        <v>35.412737249227497</v>
      </c>
      <c r="D72">
        <v>6.3127498059187603</v>
      </c>
      <c r="E72">
        <v>2.4220073523794601</v>
      </c>
      <c r="F72">
        <v>34.673540139459497</v>
      </c>
    </row>
    <row r="73" spans="1:6" x14ac:dyDescent="0.25">
      <c r="A73" s="7">
        <v>41804</v>
      </c>
      <c r="B73">
        <v>2.35050559492693</v>
      </c>
      <c r="C73">
        <v>35.968819562045603</v>
      </c>
      <c r="D73">
        <v>6.1339952760082301</v>
      </c>
      <c r="E73">
        <v>2.3201829275050598</v>
      </c>
      <c r="F73">
        <v>39.282397365110903</v>
      </c>
    </row>
    <row r="74" spans="1:6" x14ac:dyDescent="0.25">
      <c r="A74" s="7">
        <v>41832</v>
      </c>
      <c r="B74">
        <v>2.3347895983659099</v>
      </c>
      <c r="C74">
        <v>36.515799951876801</v>
      </c>
      <c r="D74">
        <v>6.00966323907772</v>
      </c>
      <c r="E74">
        <v>2.4444104777984998</v>
      </c>
      <c r="F74">
        <v>36.139157681509403</v>
      </c>
    </row>
    <row r="75" spans="1:6" x14ac:dyDescent="0.25">
      <c r="A75" s="7">
        <v>41867</v>
      </c>
      <c r="B75">
        <v>2.3227046415930399</v>
      </c>
      <c r="C75">
        <v>37.019012586958603</v>
      </c>
      <c r="D75">
        <v>5.9039228717433296</v>
      </c>
      <c r="E75">
        <v>2.4908643382169</v>
      </c>
      <c r="F75">
        <v>38.163597009132502</v>
      </c>
    </row>
    <row r="76" spans="1:6" x14ac:dyDescent="0.25">
      <c r="A76" s="7">
        <v>41895</v>
      </c>
      <c r="B76">
        <v>2.3055538748847599</v>
      </c>
      <c r="C76">
        <v>37.246747238710803</v>
      </c>
      <c r="D76">
        <v>5.8291270292040096</v>
      </c>
      <c r="E76">
        <v>2.2593179013879601</v>
      </c>
      <c r="F76">
        <v>38.699929742570198</v>
      </c>
    </row>
    <row r="77" spans="1:6" x14ac:dyDescent="0.25">
      <c r="A77" s="7">
        <v>41930</v>
      </c>
      <c r="B77">
        <v>2.29745112465831</v>
      </c>
      <c r="C77">
        <v>37.814791217007503</v>
      </c>
      <c r="D77">
        <v>5.7275559543373697</v>
      </c>
      <c r="E77">
        <v>2.3909410796341799</v>
      </c>
      <c r="F77">
        <v>41.812972175797803</v>
      </c>
    </row>
    <row r="78" spans="1:6" x14ac:dyDescent="0.25">
      <c r="A78" s="7">
        <v>41958</v>
      </c>
      <c r="B78">
        <v>2.2984390896466702</v>
      </c>
      <c r="C78">
        <v>38.001893510954403</v>
      </c>
      <c r="D78">
        <v>5.70327573329355</v>
      </c>
      <c r="E78">
        <v>2.3242809771505399</v>
      </c>
      <c r="F78">
        <v>36.831721859061503</v>
      </c>
    </row>
    <row r="79" spans="1:6" x14ac:dyDescent="0.25">
      <c r="A79" s="7">
        <v>41986</v>
      </c>
      <c r="B79">
        <v>2.2810680259508498</v>
      </c>
      <c r="C79">
        <v>38.507109231255598</v>
      </c>
      <c r="D79">
        <v>5.5924735532226704</v>
      </c>
      <c r="E79">
        <v>2.2892033177678899</v>
      </c>
      <c r="F79">
        <v>42.079655791381299</v>
      </c>
    </row>
    <row r="80" spans="1:6" x14ac:dyDescent="0.25">
      <c r="A80" s="7">
        <v>42021</v>
      </c>
      <c r="B80">
        <v>2.27528211948571</v>
      </c>
      <c r="C80">
        <v>39.424028033483502</v>
      </c>
      <c r="D80">
        <v>5.4564023029136299</v>
      </c>
      <c r="E80">
        <v>2.2037818012792201</v>
      </c>
      <c r="F80">
        <v>35.549240540528203</v>
      </c>
    </row>
    <row r="81" spans="1:6" x14ac:dyDescent="0.25">
      <c r="A81" s="7">
        <v>42049</v>
      </c>
      <c r="B81">
        <v>2.26118050409886</v>
      </c>
      <c r="C81">
        <v>39.311781776121897</v>
      </c>
      <c r="D81">
        <v>5.4390651521473696</v>
      </c>
      <c r="E81">
        <v>2.31141040965008</v>
      </c>
      <c r="F81">
        <v>42.232907494481097</v>
      </c>
    </row>
    <row r="82" spans="1:6" x14ac:dyDescent="0.25">
      <c r="A82" s="7">
        <v>42077</v>
      </c>
      <c r="B82">
        <v>2.25577008916706</v>
      </c>
      <c r="C82">
        <v>39.689312541773901</v>
      </c>
      <c r="D82">
        <v>5.3779130893953404</v>
      </c>
      <c r="E82">
        <v>2.3387126334017698</v>
      </c>
      <c r="F82">
        <v>41.470172697401701</v>
      </c>
    </row>
    <row r="83" spans="1:6" x14ac:dyDescent="0.25">
      <c r="A83" s="7">
        <v>42112</v>
      </c>
      <c r="B83">
        <v>2.2648093024882501</v>
      </c>
      <c r="C83">
        <v>39.282808321130801</v>
      </c>
      <c r="D83">
        <v>5.4511171326481698</v>
      </c>
      <c r="E83">
        <v>2.6290574486209999</v>
      </c>
      <c r="F83">
        <v>45.553406962572701</v>
      </c>
    </row>
    <row r="84" spans="1:6" x14ac:dyDescent="0.25">
      <c r="A84" s="7">
        <v>42140</v>
      </c>
      <c r="B84">
        <v>2.2450232431138502</v>
      </c>
      <c r="C84">
        <v>39.900636298917298</v>
      </c>
      <c r="D84">
        <v>5.3268195764617898</v>
      </c>
      <c r="E84">
        <v>2.27344648073964</v>
      </c>
      <c r="F84">
        <v>35.957974358245501</v>
      </c>
    </row>
    <row r="85" spans="1:6" x14ac:dyDescent="0.25">
      <c r="A85" s="7">
        <v>42168</v>
      </c>
      <c r="B85">
        <v>2.22553862839528</v>
      </c>
      <c r="C85">
        <v>40.084971080420097</v>
      </c>
      <c r="D85">
        <v>5.2600137500390201</v>
      </c>
      <c r="E85">
        <v>2.2679755088834801</v>
      </c>
      <c r="F85">
        <v>46.147142048687002</v>
      </c>
    </row>
    <row r="86" spans="1:6" x14ac:dyDescent="0.25">
      <c r="A86" s="7">
        <v>42203</v>
      </c>
      <c r="B86">
        <v>2.2354551457821898</v>
      </c>
      <c r="C86">
        <v>40.0659414772907</v>
      </c>
      <c r="D86">
        <v>5.2845894562329399</v>
      </c>
      <c r="E86">
        <v>2.5108082424949401</v>
      </c>
      <c r="F86">
        <v>46.482052842630999</v>
      </c>
    </row>
    <row r="87" spans="1:6" x14ac:dyDescent="0.25">
      <c r="A87" s="7">
        <v>42231</v>
      </c>
      <c r="B87">
        <v>2.21922890793673</v>
      </c>
      <c r="C87">
        <v>41.165873343533697</v>
      </c>
      <c r="D87">
        <v>5.11518653355603</v>
      </c>
      <c r="E87">
        <v>1.93320930795823</v>
      </c>
      <c r="F87">
        <v>37.960189972045903</v>
      </c>
    </row>
    <row r="88" spans="1:6" x14ac:dyDescent="0.25">
      <c r="A88" s="7">
        <v>42259</v>
      </c>
      <c r="B88">
        <v>2.2049080528260299</v>
      </c>
      <c r="C88">
        <v>41.500734894397901</v>
      </c>
      <c r="D88">
        <v>5.0449047403067198</v>
      </c>
      <c r="E88">
        <v>2.2863466789298399</v>
      </c>
      <c r="F88">
        <v>43.6582406456386</v>
      </c>
    </row>
    <row r="89" spans="1:6" x14ac:dyDescent="0.25">
      <c r="A89" s="7">
        <v>42294</v>
      </c>
      <c r="B89">
        <v>2.2159544099118098</v>
      </c>
      <c r="C89">
        <v>41.122825698078103</v>
      </c>
      <c r="D89">
        <v>5.1130982560888398</v>
      </c>
      <c r="E89">
        <v>2.25110510217857</v>
      </c>
      <c r="F89">
        <v>42.478291555124102</v>
      </c>
    </row>
    <row r="90" spans="1:6" x14ac:dyDescent="0.25">
      <c r="A90" s="7">
        <v>42322</v>
      </c>
      <c r="B90">
        <v>2.2133905119438202</v>
      </c>
      <c r="C90">
        <v>41.193642004689003</v>
      </c>
      <c r="D90">
        <v>5.0991518738252504</v>
      </c>
      <c r="E90">
        <v>2.2491553319552402</v>
      </c>
      <c r="F90">
        <v>41.391779804689499</v>
      </c>
    </row>
    <row r="91" spans="1:6" x14ac:dyDescent="0.25">
      <c r="A91" s="7">
        <v>42350</v>
      </c>
      <c r="B91">
        <v>2.1960650808257198</v>
      </c>
      <c r="C91">
        <v>42.244372078879699</v>
      </c>
      <c r="D91">
        <v>4.9415919850962098</v>
      </c>
      <c r="E91">
        <v>2.2824964755458099</v>
      </c>
      <c r="F91">
        <v>44.547493252786097</v>
      </c>
    </row>
    <row r="92" spans="1:6" x14ac:dyDescent="0.25">
      <c r="A92" s="7">
        <v>42385</v>
      </c>
      <c r="B92">
        <v>2.2211229019502299</v>
      </c>
      <c r="C92">
        <v>41.849900839098098</v>
      </c>
      <c r="D92">
        <v>5.0398713562931103</v>
      </c>
      <c r="E92">
        <v>2.0525912047455002</v>
      </c>
      <c r="F92">
        <v>43.568053159471603</v>
      </c>
    </row>
    <row r="93" spans="1:6" x14ac:dyDescent="0.25">
      <c r="A93" s="7">
        <v>42413</v>
      </c>
      <c r="B93">
        <v>2.1977979533341401</v>
      </c>
      <c r="C93">
        <v>41.848436118841001</v>
      </c>
      <c r="D93">
        <v>4.9897522447271596</v>
      </c>
      <c r="E93">
        <v>2.0749409565136099</v>
      </c>
      <c r="F93">
        <v>40.061260269012998</v>
      </c>
    </row>
    <row r="94" spans="1:6" x14ac:dyDescent="0.25">
      <c r="A94" s="7">
        <v>42441</v>
      </c>
      <c r="B94">
        <v>2.1912929085817199</v>
      </c>
      <c r="C94">
        <v>42.2095729406186</v>
      </c>
      <c r="D94">
        <v>4.93524814588989</v>
      </c>
      <c r="E94">
        <v>2.2374746344530299</v>
      </c>
      <c r="F94">
        <v>40.152067741073701</v>
      </c>
    </row>
    <row r="95" spans="1:6" x14ac:dyDescent="0.25">
      <c r="A95" s="7">
        <v>42476</v>
      </c>
      <c r="B95">
        <v>2.1871796888686998</v>
      </c>
      <c r="C95">
        <v>42.136793629875498</v>
      </c>
      <c r="D95">
        <v>4.93452983815365</v>
      </c>
      <c r="E95">
        <v>2.4777673804621201</v>
      </c>
      <c r="F95">
        <v>45.359138015407403</v>
      </c>
    </row>
    <row r="96" spans="1:6" x14ac:dyDescent="0.25">
      <c r="A96" s="7">
        <v>42504</v>
      </c>
      <c r="B96">
        <v>2.19806704870168</v>
      </c>
      <c r="C96">
        <v>41.889528004799502</v>
      </c>
      <c r="D96">
        <v>4.9856814508350498</v>
      </c>
      <c r="E96">
        <v>2.1929470637644899</v>
      </c>
      <c r="F96">
        <v>47.320497966479103</v>
      </c>
    </row>
    <row r="97" spans="1:6" x14ac:dyDescent="0.25">
      <c r="A97" s="7">
        <v>42539</v>
      </c>
      <c r="B97">
        <v>2.1861961651759301</v>
      </c>
      <c r="C97">
        <v>42.090177996630999</v>
      </c>
      <c r="D97">
        <v>4.9376133582811796</v>
      </c>
      <c r="E97">
        <v>2.2588736776132801</v>
      </c>
      <c r="F97">
        <v>43.262626426254002</v>
      </c>
    </row>
    <row r="98" spans="1:6" x14ac:dyDescent="0.25">
      <c r="A98" s="7">
        <v>42567</v>
      </c>
      <c r="B98">
        <v>2.17471030817092</v>
      </c>
      <c r="C98">
        <v>42.684225539402803</v>
      </c>
      <c r="D98">
        <v>4.8478865293647999</v>
      </c>
      <c r="E98">
        <v>2.06030617977714</v>
      </c>
      <c r="F98">
        <v>42.052106414851998</v>
      </c>
    </row>
    <row r="99" spans="1:6" x14ac:dyDescent="0.25">
      <c r="A99" s="7">
        <v>42595</v>
      </c>
      <c r="B99">
        <v>2.1697234780285002</v>
      </c>
      <c r="C99">
        <v>42.9849080315999</v>
      </c>
      <c r="D99">
        <v>4.8050961894481397</v>
      </c>
      <c r="E99">
        <v>2.1064196622028701</v>
      </c>
      <c r="F99">
        <v>39.776027698529901</v>
      </c>
    </row>
    <row r="100" spans="1:6" x14ac:dyDescent="0.25">
      <c r="A100" s="7">
        <v>42630</v>
      </c>
      <c r="B100">
        <v>2.16863885507993</v>
      </c>
      <c r="C100">
        <v>42.954234713841402</v>
      </c>
      <c r="D100">
        <v>4.80607435554281</v>
      </c>
      <c r="E100">
        <v>2.4690095503220402</v>
      </c>
      <c r="F100">
        <v>45.531248560697797</v>
      </c>
    </row>
    <row r="101" spans="1:6" x14ac:dyDescent="0.25">
      <c r="A101" s="7">
        <v>42658</v>
      </c>
      <c r="B101">
        <v>2.1647012951773799</v>
      </c>
      <c r="C101">
        <v>43.228806806103201</v>
      </c>
      <c r="D101">
        <v>4.7687464259152703</v>
      </c>
      <c r="E101">
        <v>2.3313118604690501</v>
      </c>
      <c r="F101">
        <v>46.660240375618898</v>
      </c>
    </row>
    <row r="102" spans="1:6" x14ac:dyDescent="0.25">
      <c r="A102" s="7">
        <v>42686</v>
      </c>
      <c r="B102">
        <v>2.13748637028716</v>
      </c>
      <c r="C102">
        <v>44.108118721535</v>
      </c>
      <c r="D102">
        <v>4.6220313606949404</v>
      </c>
      <c r="E102">
        <v>2.3301389046133298</v>
      </c>
      <c r="F102">
        <v>49.436978123949999</v>
      </c>
    </row>
    <row r="103" spans="1:6" x14ac:dyDescent="0.25">
      <c r="A103" s="7">
        <v>42714</v>
      </c>
      <c r="B103">
        <v>2.1589373257442501</v>
      </c>
      <c r="C103">
        <v>43.650588754319003</v>
      </c>
      <c r="D103">
        <v>4.7128567144985896</v>
      </c>
      <c r="E103">
        <v>2.2301228508984901</v>
      </c>
      <c r="F103">
        <v>45.533927015640003</v>
      </c>
    </row>
    <row r="104" spans="1:6" x14ac:dyDescent="0.25">
      <c r="A104" s="7">
        <v>42749</v>
      </c>
      <c r="B104">
        <v>2.14521765957595</v>
      </c>
      <c r="C104">
        <v>44.012574627160603</v>
      </c>
      <c r="D104">
        <v>4.64757423026139</v>
      </c>
      <c r="E104">
        <v>2.32811877253013</v>
      </c>
      <c r="F104">
        <v>47.9508033744399</v>
      </c>
    </row>
    <row r="105" spans="1:6" x14ac:dyDescent="0.25">
      <c r="A105" s="7">
        <v>42784</v>
      </c>
      <c r="B105">
        <v>2.1327669872809398</v>
      </c>
      <c r="C105">
        <v>44.510436078295797</v>
      </c>
      <c r="D105">
        <v>4.5725139936947103</v>
      </c>
      <c r="E105">
        <v>2.4382074044990798</v>
      </c>
      <c r="F105">
        <v>51.408033434133401</v>
      </c>
    </row>
    <row r="106" spans="1:6" x14ac:dyDescent="0.25">
      <c r="A106" s="7">
        <v>42812</v>
      </c>
      <c r="B106">
        <v>2.1249772178116602</v>
      </c>
      <c r="C106">
        <v>45.193263875349402</v>
      </c>
      <c r="D106">
        <v>4.49082038706376</v>
      </c>
      <c r="E106">
        <v>2.2602922291891701</v>
      </c>
      <c r="F106">
        <v>52.303336807727803</v>
      </c>
    </row>
    <row r="107" spans="1:6" x14ac:dyDescent="0.25">
      <c r="A107" s="7">
        <v>42840</v>
      </c>
      <c r="B107">
        <v>2.11054117985663</v>
      </c>
      <c r="C107">
        <v>45.509869621945299</v>
      </c>
      <c r="D107">
        <v>4.4320096032786997</v>
      </c>
      <c r="E107">
        <v>2.2063028347273299</v>
      </c>
      <c r="F107">
        <v>47.623593214367403</v>
      </c>
    </row>
    <row r="108" spans="1:6" x14ac:dyDescent="0.25">
      <c r="A108" s="7">
        <v>42868</v>
      </c>
      <c r="B108">
        <v>2.1003130442667901</v>
      </c>
      <c r="C108">
        <v>45.928751138926302</v>
      </c>
      <c r="D108">
        <v>4.3730043047596103</v>
      </c>
      <c r="E108">
        <v>1.9929901042212901</v>
      </c>
      <c r="F108">
        <v>44.441975424822502</v>
      </c>
    </row>
    <row r="109" spans="1:6" x14ac:dyDescent="0.25">
      <c r="A109" s="7">
        <v>42903</v>
      </c>
      <c r="B109">
        <v>2.1031443702577599</v>
      </c>
      <c r="C109">
        <v>46.265565707728499</v>
      </c>
      <c r="D109">
        <v>4.34815062644177</v>
      </c>
      <c r="E109">
        <v>2.24543129961768</v>
      </c>
      <c r="F109">
        <v>51.544580419094899</v>
      </c>
    </row>
    <row r="110" spans="1:6" x14ac:dyDescent="0.25">
      <c r="A110" s="7">
        <v>42931</v>
      </c>
      <c r="B110">
        <v>2.1030947395882502</v>
      </c>
      <c r="C110">
        <v>46.426190544745801</v>
      </c>
      <c r="D110">
        <v>4.33366106108131</v>
      </c>
      <c r="E110">
        <v>1.9195272742624101</v>
      </c>
      <c r="F110">
        <v>42.686219662870897</v>
      </c>
    </row>
    <row r="111" spans="1:6" x14ac:dyDescent="0.25">
      <c r="A111" s="7">
        <v>42959</v>
      </c>
      <c r="B111">
        <v>2.10171262060565</v>
      </c>
      <c r="C111">
        <v>46.278086606221102</v>
      </c>
      <c r="D111">
        <v>4.3441945898779997</v>
      </c>
      <c r="E111">
        <v>2.1000398782148899</v>
      </c>
      <c r="F111">
        <v>43.460287305522897</v>
      </c>
    </row>
    <row r="112" spans="1:6" x14ac:dyDescent="0.25">
      <c r="A112" s="7">
        <v>42994</v>
      </c>
      <c r="B112">
        <v>2.11059054238576</v>
      </c>
      <c r="C112">
        <v>46.008761005464002</v>
      </c>
      <c r="D112">
        <v>4.3861574906864496</v>
      </c>
      <c r="E112">
        <v>2.14473972451413</v>
      </c>
      <c r="F112">
        <v>51.068443068421701</v>
      </c>
    </row>
    <row r="113" spans="1:6" x14ac:dyDescent="0.25">
      <c r="A113" s="7">
        <v>43022</v>
      </c>
      <c r="B113">
        <v>2.0776474271055498</v>
      </c>
      <c r="C113">
        <v>47.610397771425802</v>
      </c>
      <c r="D113">
        <v>4.1813829036827599</v>
      </c>
      <c r="E113">
        <v>2.0416755992300701</v>
      </c>
      <c r="F113">
        <v>48.172304077829402</v>
      </c>
    </row>
    <row r="114" spans="1:6" x14ac:dyDescent="0.25">
      <c r="A114" s="7">
        <v>43050</v>
      </c>
      <c r="B114">
        <v>2.0907267475217801</v>
      </c>
      <c r="C114">
        <v>47.674104483475901</v>
      </c>
      <c r="D114">
        <v>4.2012133786148604</v>
      </c>
      <c r="E114">
        <v>2.1606430186436301</v>
      </c>
      <c r="F114">
        <v>48.346214839270402</v>
      </c>
    </row>
    <row r="115" spans="1:6" x14ac:dyDescent="0.25">
      <c r="A115" s="7">
        <v>43078</v>
      </c>
      <c r="B115">
        <v>2.0781907761220602</v>
      </c>
      <c r="C115">
        <v>48.124049170861703</v>
      </c>
      <c r="D115">
        <v>4.1396375506685397</v>
      </c>
      <c r="E115">
        <v>2.1616102857982402</v>
      </c>
      <c r="F115">
        <v>51.757009602555797</v>
      </c>
    </row>
    <row r="116" spans="1:6" x14ac:dyDescent="0.25">
      <c r="A116" s="7">
        <v>43113</v>
      </c>
      <c r="B116">
        <v>2.0750801815245499</v>
      </c>
      <c r="C116">
        <v>48.108907016728402</v>
      </c>
      <c r="D116">
        <v>4.1349448247842497</v>
      </c>
      <c r="E116">
        <v>2.13148664017316</v>
      </c>
      <c r="F116">
        <v>52.562090527142601</v>
      </c>
    </row>
    <row r="117" spans="1:6" x14ac:dyDescent="0.25">
      <c r="A117" s="7">
        <v>43148</v>
      </c>
      <c r="B117">
        <v>2.0687084405920602</v>
      </c>
      <c r="C117">
        <v>48.643347607030599</v>
      </c>
      <c r="D117">
        <v>4.0793227524622102</v>
      </c>
      <c r="E117">
        <v>2.3899286642648101</v>
      </c>
      <c r="F117">
        <v>55.720230574851399</v>
      </c>
    </row>
    <row r="118" spans="1:6" x14ac:dyDescent="0.25">
      <c r="A118" s="7">
        <v>43176</v>
      </c>
      <c r="B118">
        <v>2.06180551775673</v>
      </c>
      <c r="C118">
        <v>49.112604957451602</v>
      </c>
      <c r="D118">
        <v>4.0289775663474998</v>
      </c>
      <c r="E118">
        <v>2.2391091023436398</v>
      </c>
      <c r="F118">
        <v>54.9048809998406</v>
      </c>
    </row>
    <row r="119" spans="1:6" x14ac:dyDescent="0.25">
      <c r="A119" s="7">
        <v>43204</v>
      </c>
      <c r="B119">
        <v>2.0637490030325898</v>
      </c>
      <c r="C119">
        <v>48.605823314444997</v>
      </c>
      <c r="D119">
        <v>4.0729552444253398</v>
      </c>
      <c r="E119">
        <v>2.0198618174921799</v>
      </c>
      <c r="F119">
        <v>48.764158013176299</v>
      </c>
    </row>
    <row r="120" spans="1:6" x14ac:dyDescent="0.25">
      <c r="A120" s="7">
        <v>43232</v>
      </c>
      <c r="B120">
        <v>2.0341528013293799</v>
      </c>
      <c r="C120">
        <v>49.939798625398701</v>
      </c>
      <c r="D120">
        <v>3.9137928625594101</v>
      </c>
      <c r="E120">
        <v>1.8995298174861901</v>
      </c>
      <c r="F120">
        <v>50.977338301527602</v>
      </c>
    </row>
    <row r="121" spans="1:6" x14ac:dyDescent="0.25">
      <c r="A121" s="7">
        <v>43267</v>
      </c>
      <c r="B121">
        <v>2.01548216501741</v>
      </c>
      <c r="C121">
        <v>50.755448374397297</v>
      </c>
      <c r="D121">
        <v>3.8193038182490402</v>
      </c>
      <c r="E121">
        <v>2.1242442691474599</v>
      </c>
      <c r="F121">
        <v>48.497374280108502</v>
      </c>
    </row>
    <row r="122" spans="1:6" x14ac:dyDescent="0.25">
      <c r="A122" s="7">
        <v>43295</v>
      </c>
      <c r="B122">
        <v>2.0081031720579201</v>
      </c>
      <c r="C122">
        <v>50.9584291048712</v>
      </c>
      <c r="D122">
        <v>3.79126796815543</v>
      </c>
      <c r="E122">
        <v>1.85615798186308</v>
      </c>
      <c r="F122">
        <v>49.953547977974999</v>
      </c>
    </row>
    <row r="123" spans="1:6" x14ac:dyDescent="0.25">
      <c r="A123" s="7">
        <v>43330</v>
      </c>
      <c r="B123">
        <v>1.99559147817657</v>
      </c>
      <c r="C123">
        <v>51.571797860820801</v>
      </c>
      <c r="D123">
        <v>3.7253849829186398</v>
      </c>
      <c r="E123">
        <v>2.19084591008497</v>
      </c>
      <c r="F123">
        <v>55.498247055074998</v>
      </c>
    </row>
    <row r="124" spans="1:6" x14ac:dyDescent="0.25">
      <c r="A124" s="7">
        <v>43358</v>
      </c>
      <c r="B124">
        <v>1.99043470867808</v>
      </c>
      <c r="C124">
        <v>51.947324570724703</v>
      </c>
      <c r="D124">
        <v>3.6902435979356101</v>
      </c>
      <c r="E124">
        <v>1.9683604723519099</v>
      </c>
      <c r="F124">
        <v>51.800969544225403</v>
      </c>
    </row>
    <row r="125" spans="1:6" x14ac:dyDescent="0.25">
      <c r="A125" s="7">
        <v>43386</v>
      </c>
      <c r="B125">
        <v>1.98887964253186</v>
      </c>
      <c r="C125">
        <v>51.9861137346278</v>
      </c>
      <c r="D125">
        <v>3.68481683477795</v>
      </c>
      <c r="E125">
        <v>1.8928141943771599</v>
      </c>
      <c r="F125">
        <v>46.1719251581317</v>
      </c>
    </row>
    <row r="126" spans="1:6" x14ac:dyDescent="0.25">
      <c r="A126" s="7">
        <v>43414</v>
      </c>
      <c r="B126">
        <v>2.0015226054024899</v>
      </c>
      <c r="C126">
        <v>52.265394449010699</v>
      </c>
      <c r="D126">
        <v>3.6882924515420199</v>
      </c>
      <c r="E126">
        <v>2.07810181947473</v>
      </c>
      <c r="F126">
        <v>54.5354735337311</v>
      </c>
    </row>
    <row r="127" spans="1:6" x14ac:dyDescent="0.25">
      <c r="A127" s="7">
        <v>43442</v>
      </c>
      <c r="B127">
        <v>2.0105746698602101</v>
      </c>
      <c r="C127">
        <v>51.799399469506497</v>
      </c>
      <c r="D127">
        <v>3.7364349305443998</v>
      </c>
      <c r="E127">
        <v>1.96634784208719</v>
      </c>
      <c r="F127">
        <v>45.075331644029703</v>
      </c>
    </row>
    <row r="128" spans="1:6" x14ac:dyDescent="0.25">
      <c r="A128" s="7">
        <v>43477</v>
      </c>
      <c r="B128">
        <v>2.0225126662093098</v>
      </c>
      <c r="C128">
        <v>51.363928953799601</v>
      </c>
      <c r="D128">
        <v>3.7884387961367501</v>
      </c>
      <c r="E128">
        <v>2.2336276043318799</v>
      </c>
      <c r="F128">
        <v>52.876615738005597</v>
      </c>
    </row>
    <row r="129" spans="1:6" x14ac:dyDescent="0.25">
      <c r="A129" s="7">
        <v>43512</v>
      </c>
      <c r="B129">
        <v>2.01408100252916</v>
      </c>
      <c r="C129">
        <v>51.620990686364003</v>
      </c>
      <c r="D129">
        <v>3.7551567269485799</v>
      </c>
      <c r="E129">
        <v>2.2243074163949701</v>
      </c>
      <c r="F129">
        <v>60.8442709537157</v>
      </c>
    </row>
    <row r="130" spans="1:6" x14ac:dyDescent="0.25">
      <c r="A130" s="7">
        <v>43540</v>
      </c>
      <c r="B130">
        <v>2.0200283048944798</v>
      </c>
      <c r="C130">
        <v>50.867976508736703</v>
      </c>
      <c r="D130">
        <v>3.8194450934814701</v>
      </c>
      <c r="E130">
        <v>2.05694532224482</v>
      </c>
      <c r="F130">
        <v>51.121683456839797</v>
      </c>
    </row>
    <row r="131" spans="1:6" x14ac:dyDescent="0.25">
      <c r="A131" s="7">
        <v>43568</v>
      </c>
      <c r="B131">
        <v>1.98145949472998</v>
      </c>
      <c r="C131">
        <v>52.216300005018397</v>
      </c>
      <c r="D131">
        <v>3.6559804556850399</v>
      </c>
      <c r="E131">
        <v>1.8758906761548899</v>
      </c>
      <c r="F131">
        <v>52.183951042737696</v>
      </c>
    </row>
    <row r="132" spans="1:6" x14ac:dyDescent="0.25">
      <c r="A132" s="7">
        <v>43603</v>
      </c>
      <c r="B132">
        <v>1.99074704721439</v>
      </c>
      <c r="C132">
        <v>52.506126887907499</v>
      </c>
      <c r="D132">
        <v>3.6529564055075099</v>
      </c>
      <c r="E132">
        <v>2.0199627130878</v>
      </c>
      <c r="F132">
        <v>53.884984386205304</v>
      </c>
    </row>
    <row r="133" spans="1:6" x14ac:dyDescent="0.25">
      <c r="A133" s="7">
        <v>43631</v>
      </c>
      <c r="B133">
        <v>1.9938350325870799</v>
      </c>
      <c r="C133">
        <v>51.826694094953801</v>
      </c>
      <c r="D133">
        <v>3.7045994621535701</v>
      </c>
      <c r="E133">
        <v>1.73103126528387</v>
      </c>
      <c r="F133">
        <v>45.993375901304802</v>
      </c>
    </row>
    <row r="134" spans="1:6" x14ac:dyDescent="0.25">
      <c r="A134" s="7">
        <v>43659</v>
      </c>
      <c r="B134">
        <v>1.98673049787552</v>
      </c>
      <c r="C134">
        <v>52.3961006941786</v>
      </c>
      <c r="D134">
        <v>3.65323109210577</v>
      </c>
      <c r="E134">
        <v>1.96289559154824</v>
      </c>
      <c r="F134">
        <v>49.621787070394198</v>
      </c>
    </row>
    <row r="135" spans="1:6" x14ac:dyDescent="0.25">
      <c r="A135" s="7">
        <v>43694</v>
      </c>
      <c r="B135">
        <v>1.98108646425187</v>
      </c>
      <c r="C135">
        <v>53.149533051341699</v>
      </c>
      <c r="D135">
        <v>3.59344132472794</v>
      </c>
      <c r="E135">
        <v>2.21792298413185</v>
      </c>
      <c r="F135">
        <v>60.368267460223898</v>
      </c>
    </row>
    <row r="136" spans="1:6" x14ac:dyDescent="0.25">
      <c r="A136" s="7">
        <v>43722</v>
      </c>
      <c r="B136">
        <v>1.97535581337391</v>
      </c>
      <c r="C136">
        <v>52.714009429813203</v>
      </c>
      <c r="D136">
        <v>3.6119560075164499</v>
      </c>
      <c r="E136">
        <v>1.7160474351658499</v>
      </c>
      <c r="F136">
        <v>49.935258302761397</v>
      </c>
    </row>
    <row r="137" spans="1:6" x14ac:dyDescent="0.25">
      <c r="A137" s="7">
        <v>43750</v>
      </c>
      <c r="B137">
        <v>1.98511925312459</v>
      </c>
      <c r="C137">
        <v>52.786952975327402</v>
      </c>
      <c r="D137">
        <v>3.6243274580606499</v>
      </c>
      <c r="E137">
        <v>1.7460733008985001</v>
      </c>
      <c r="F137">
        <v>45.733126546261403</v>
      </c>
    </row>
    <row r="138" spans="1:6" x14ac:dyDescent="0.25">
      <c r="A138" s="7">
        <v>43778</v>
      </c>
      <c r="B138">
        <v>2.0027096451827102</v>
      </c>
      <c r="C138">
        <v>51.959357579071302</v>
      </c>
      <c r="D138">
        <v>3.7113286206399598</v>
      </c>
      <c r="E138">
        <v>1.9422352355063399</v>
      </c>
      <c r="F138">
        <v>52.578969473602498</v>
      </c>
    </row>
    <row r="139" spans="1:6" x14ac:dyDescent="0.25">
      <c r="A139" s="7">
        <v>43806</v>
      </c>
      <c r="B139">
        <v>2.0117757762420201</v>
      </c>
      <c r="C139">
        <v>52.140169952332897</v>
      </c>
      <c r="D139">
        <v>3.7150572323395599</v>
      </c>
      <c r="E139">
        <v>1.9695550817699901</v>
      </c>
      <c r="F139">
        <v>53.736184568949199</v>
      </c>
    </row>
    <row r="140" spans="1:6" x14ac:dyDescent="0.25">
      <c r="A140" s="7">
        <v>43848</v>
      </c>
      <c r="B140">
        <v>2.0074659001884001</v>
      </c>
      <c r="C140">
        <v>52.638377858182601</v>
      </c>
      <c r="D140">
        <v>3.6735930166342801</v>
      </c>
      <c r="E140">
        <v>1.9264905991547701</v>
      </c>
      <c r="F140">
        <v>51.676612218618502</v>
      </c>
    </row>
    <row r="141" spans="1:6" x14ac:dyDescent="0.25">
      <c r="A141" s="7">
        <v>43876</v>
      </c>
      <c r="B141">
        <v>1.99870078249979</v>
      </c>
      <c r="C141">
        <v>52.252408079668903</v>
      </c>
      <c r="D141">
        <v>3.6841657699158299</v>
      </c>
      <c r="E141">
        <v>1.9979636987280001</v>
      </c>
      <c r="F141">
        <v>56.6435719464831</v>
      </c>
    </row>
    <row r="142" spans="1:6" x14ac:dyDescent="0.25">
      <c r="A142" s="7">
        <v>43904</v>
      </c>
      <c r="B142">
        <v>2.1126667419388698</v>
      </c>
      <c r="C142">
        <v>51.606167221700801</v>
      </c>
      <c r="D142">
        <v>3.9328231572726602</v>
      </c>
      <c r="E142">
        <v>3.3786208794442398</v>
      </c>
      <c r="F142">
        <v>57.523513841172999</v>
      </c>
    </row>
    <row r="143" spans="1:6" x14ac:dyDescent="0.25">
      <c r="A143" s="7">
        <v>43939</v>
      </c>
      <c r="B143">
        <v>3.9958462980763501</v>
      </c>
      <c r="C143">
        <v>18.147076746247201</v>
      </c>
      <c r="D143">
        <v>18.045703767645499</v>
      </c>
      <c r="E143">
        <v>12.5154983898629</v>
      </c>
      <c r="F143">
        <v>9.7141998108190002</v>
      </c>
    </row>
    <row r="144" spans="1:6" x14ac:dyDescent="0.25">
      <c r="A144" s="7">
        <v>43967</v>
      </c>
      <c r="B144">
        <v>3.85217044462035</v>
      </c>
      <c r="C144">
        <v>17.8777111085336</v>
      </c>
      <c r="D144">
        <v>17.727526195655798</v>
      </c>
      <c r="E144">
        <v>3.7193551272279999</v>
      </c>
      <c r="F144">
        <v>33.922285373883902</v>
      </c>
    </row>
    <row r="145" spans="1:6" x14ac:dyDescent="0.25">
      <c r="A145" s="7">
        <v>43995</v>
      </c>
      <c r="B145">
        <v>3.2963555743823401</v>
      </c>
      <c r="C145">
        <v>25.852704535656301</v>
      </c>
      <c r="D145">
        <v>11.3086170255181</v>
      </c>
      <c r="E145">
        <v>2.7377488129820899</v>
      </c>
      <c r="F145">
        <v>38.244668304340003</v>
      </c>
    </row>
    <row r="146" spans="1:6" x14ac:dyDescent="0.25">
      <c r="A146" s="7">
        <v>44030</v>
      </c>
      <c r="B146">
        <v>3.2064810820830401</v>
      </c>
      <c r="C146">
        <v>27.335464185889101</v>
      </c>
      <c r="D146">
        <v>10.4986144593924</v>
      </c>
      <c r="E146">
        <v>2.97524921022683</v>
      </c>
      <c r="F146">
        <v>32.849147798362402</v>
      </c>
    </row>
    <row r="147" spans="1:6" x14ac:dyDescent="0.25">
      <c r="A147" s="7">
        <v>44058</v>
      </c>
      <c r="B147">
        <v>3.0483423996915402</v>
      </c>
      <c r="C147">
        <v>30.167796607927301</v>
      </c>
      <c r="D147">
        <v>9.1772929990217609</v>
      </c>
      <c r="E147">
        <v>2.2185000599290201</v>
      </c>
      <c r="F147">
        <v>41.717355153985402</v>
      </c>
    </row>
    <row r="148" spans="1:6" x14ac:dyDescent="0.25">
      <c r="A148" s="7">
        <v>44086</v>
      </c>
      <c r="B148">
        <v>2.9282860943241298</v>
      </c>
      <c r="C148">
        <v>32.101911494110098</v>
      </c>
      <c r="D148">
        <v>8.3593193756091004</v>
      </c>
      <c r="E148">
        <v>2.4009560070505902</v>
      </c>
      <c r="F148">
        <v>33.929681481269498</v>
      </c>
    </row>
    <row r="149" spans="1:6" x14ac:dyDescent="0.25">
      <c r="A149" s="7">
        <v>44121</v>
      </c>
      <c r="B149">
        <v>2.7597925874832199</v>
      </c>
      <c r="C149">
        <v>34.372081160359201</v>
      </c>
      <c r="D149">
        <v>7.4324086261431503</v>
      </c>
      <c r="E149">
        <v>2.3324458902705398</v>
      </c>
      <c r="F149">
        <v>42.649072287227099</v>
      </c>
    </row>
    <row r="150" spans="1:6" x14ac:dyDescent="0.25">
      <c r="A150" s="7">
        <v>44149</v>
      </c>
      <c r="B150">
        <v>2.6636670336239701</v>
      </c>
      <c r="C150">
        <v>36.041293017028302</v>
      </c>
      <c r="D150">
        <v>6.8819785116380201</v>
      </c>
      <c r="E150">
        <v>2.3005158835911499</v>
      </c>
      <c r="F150">
        <v>34.972659636091599</v>
      </c>
    </row>
    <row r="151" spans="1:6" x14ac:dyDescent="0.25">
      <c r="A151" s="7">
        <v>44177</v>
      </c>
      <c r="B151">
        <v>2.7161112917896499</v>
      </c>
      <c r="C151">
        <v>34.6344061646423</v>
      </c>
      <c r="D151">
        <v>7.2719509039142398</v>
      </c>
      <c r="E151">
        <v>2.6900508796200802</v>
      </c>
      <c r="F151">
        <v>36.943061675747501</v>
      </c>
    </row>
    <row r="152" spans="1:6" x14ac:dyDescent="0.25">
      <c r="A152" s="7">
        <v>44212</v>
      </c>
      <c r="B152">
        <v>2.6880939240695199</v>
      </c>
      <c r="C152">
        <v>35.7184295312899</v>
      </c>
      <c r="D152">
        <v>6.9990555828202998</v>
      </c>
      <c r="E152">
        <v>2.1134364610362701</v>
      </c>
      <c r="F152">
        <v>34.616136482196197</v>
      </c>
    </row>
    <row r="153" spans="1:6" x14ac:dyDescent="0.25">
      <c r="A153" s="7">
        <v>44240</v>
      </c>
      <c r="B153">
        <v>2.61469111650251</v>
      </c>
      <c r="C153">
        <v>36.7738893836638</v>
      </c>
      <c r="D153">
        <v>6.6381958509306198</v>
      </c>
      <c r="E153">
        <v>1.9591434923736299</v>
      </c>
      <c r="F153">
        <v>31.5613713209003</v>
      </c>
    </row>
    <row r="154" spans="1:6" x14ac:dyDescent="0.25">
      <c r="A154" s="7">
        <v>44268</v>
      </c>
      <c r="B154">
        <v>2.5275589015450901</v>
      </c>
      <c r="C154">
        <v>39.229228852141901</v>
      </c>
      <c r="D154">
        <v>6.0530491867682601</v>
      </c>
      <c r="E154">
        <v>1.9406518811604501</v>
      </c>
      <c r="F154">
        <v>32.094259427146</v>
      </c>
    </row>
    <row r="155" spans="1:6" x14ac:dyDescent="0.25">
      <c r="A155" s="7">
        <v>44303</v>
      </c>
      <c r="B155">
        <v>2.4284653905351301</v>
      </c>
      <c r="C155">
        <v>42.138418400322301</v>
      </c>
      <c r="D155">
        <v>5.44903566049486</v>
      </c>
      <c r="E155">
        <v>2.1795322162346999</v>
      </c>
      <c r="F155">
        <v>34.090612054065403</v>
      </c>
    </row>
    <row r="156" spans="1:6" x14ac:dyDescent="0.25">
      <c r="A156" s="7">
        <v>44331</v>
      </c>
      <c r="B156">
        <v>2.37094040687251</v>
      </c>
      <c r="C156">
        <v>44.393542956117102</v>
      </c>
      <c r="D156">
        <v>5.0699595855022803</v>
      </c>
      <c r="E156">
        <v>1.8043650486395599</v>
      </c>
      <c r="F156">
        <v>33.970731827820998</v>
      </c>
    </row>
    <row r="157" spans="1:6" x14ac:dyDescent="0.25">
      <c r="A157" s="7">
        <v>44359</v>
      </c>
      <c r="B157">
        <v>2.3052465835098501</v>
      </c>
      <c r="C157">
        <v>46.074510620867201</v>
      </c>
      <c r="D157">
        <v>4.7648990336422896</v>
      </c>
      <c r="E157">
        <v>1.7409409098886099</v>
      </c>
      <c r="F157">
        <v>26.046197130328299</v>
      </c>
    </row>
    <row r="158" spans="1:6" x14ac:dyDescent="0.25">
      <c r="A158" s="7">
        <v>44394</v>
      </c>
      <c r="B158">
        <v>2.2698038247506198</v>
      </c>
      <c r="C158">
        <v>46.838750626558003</v>
      </c>
      <c r="D158">
        <v>4.6220131097549197</v>
      </c>
      <c r="E158">
        <v>2.09949533997733</v>
      </c>
      <c r="F158">
        <v>43.699594106825103</v>
      </c>
    </row>
    <row r="159" spans="1:6" x14ac:dyDescent="0.25">
      <c r="A159" s="7">
        <v>44422</v>
      </c>
      <c r="B159">
        <v>2.2223066280199899</v>
      </c>
      <c r="C159">
        <v>48.399304790717103</v>
      </c>
      <c r="D159">
        <v>4.3900353341921203</v>
      </c>
      <c r="E159">
        <v>1.90158663191348</v>
      </c>
      <c r="F159">
        <v>39.7400134291697</v>
      </c>
    </row>
    <row r="160" spans="1:6" x14ac:dyDescent="0.25">
      <c r="A160" s="7">
        <v>44457</v>
      </c>
      <c r="B160">
        <v>2.2153793397821699</v>
      </c>
      <c r="C160">
        <v>47.787453821272301</v>
      </c>
      <c r="D160">
        <v>4.4305076327308104</v>
      </c>
      <c r="E160">
        <v>2.1824784670481598</v>
      </c>
      <c r="F160">
        <v>50.656173959076099</v>
      </c>
    </row>
    <row r="161" spans="1:6" x14ac:dyDescent="0.25">
      <c r="A161" s="7">
        <v>44485</v>
      </c>
      <c r="B161">
        <v>2.1164361156822502</v>
      </c>
      <c r="C161">
        <v>49.8526677637742</v>
      </c>
      <c r="D161">
        <v>4.0724891477662801</v>
      </c>
      <c r="E161">
        <v>1.9252697776277501</v>
      </c>
      <c r="F161">
        <v>44.7708940819522</v>
      </c>
    </row>
    <row r="162" spans="1:6" x14ac:dyDescent="0.25">
      <c r="A162" s="7">
        <v>44513</v>
      </c>
      <c r="B162">
        <v>2.0509660837313799</v>
      </c>
      <c r="C162">
        <v>51.859982897263698</v>
      </c>
      <c r="D162">
        <v>3.8043590819638502</v>
      </c>
      <c r="E162">
        <v>1.8646527166593601</v>
      </c>
      <c r="F162">
        <v>49.470923215028698</v>
      </c>
    </row>
    <row r="163" spans="1:6" x14ac:dyDescent="0.25">
      <c r="A163" s="7">
        <v>44541</v>
      </c>
      <c r="B163">
        <v>2.0028019127293901</v>
      </c>
      <c r="C163">
        <v>54.0591010222874</v>
      </c>
      <c r="D163">
        <v>3.5724829302546199</v>
      </c>
      <c r="E163">
        <v>1.88258695142137</v>
      </c>
      <c r="F163">
        <v>49.686497614794398</v>
      </c>
    </row>
    <row r="164" spans="1:6" x14ac:dyDescent="0.25">
      <c r="A164" s="7">
        <v>44576</v>
      </c>
      <c r="B164">
        <v>2.0052199949595</v>
      </c>
      <c r="C164">
        <v>54.605830807912</v>
      </c>
      <c r="D164">
        <v>3.5420999372401498</v>
      </c>
      <c r="E164">
        <v>2.3444431631417499</v>
      </c>
      <c r="F164">
        <v>55.526226565011797</v>
      </c>
    </row>
    <row r="165" spans="1:6" x14ac:dyDescent="0.25">
      <c r="A165" s="7">
        <v>44604</v>
      </c>
      <c r="B165">
        <v>1.9976444744694399</v>
      </c>
      <c r="C165">
        <v>54.308443738967</v>
      </c>
      <c r="D165">
        <v>3.5478303285731299</v>
      </c>
      <c r="E165">
        <v>1.98348998593215</v>
      </c>
      <c r="F165">
        <v>52.131980368750298</v>
      </c>
    </row>
    <row r="166" spans="1:6" x14ac:dyDescent="0.25">
      <c r="A166" s="7">
        <v>44632</v>
      </c>
      <c r="B166">
        <v>1.94689819267079</v>
      </c>
      <c r="C166">
        <v>57.249501881869399</v>
      </c>
      <c r="D166">
        <v>3.2888793747917999</v>
      </c>
      <c r="E166">
        <v>2.2485420880998399</v>
      </c>
      <c r="F166">
        <v>62.526536942696701</v>
      </c>
    </row>
    <row r="167" spans="1:6" x14ac:dyDescent="0.25">
      <c r="A167" s="7">
        <v>44667</v>
      </c>
      <c r="B167">
        <v>1.9234841534829901</v>
      </c>
      <c r="C167">
        <v>57.933318927802397</v>
      </c>
      <c r="D167">
        <v>3.2134762541041502</v>
      </c>
      <c r="E167">
        <v>2.2342347828846498</v>
      </c>
      <c r="F167">
        <v>59.099818129735802</v>
      </c>
    </row>
    <row r="168" spans="1:6" x14ac:dyDescent="0.25">
      <c r="A168" s="7">
        <v>44695</v>
      </c>
      <c r="B168">
        <v>1.92331109000152</v>
      </c>
      <c r="C168">
        <v>56.922433624402501</v>
      </c>
      <c r="D168">
        <v>3.2683945106582102</v>
      </c>
      <c r="E168">
        <v>1.87926047061506</v>
      </c>
      <c r="F168">
        <v>50.233246298328197</v>
      </c>
    </row>
    <row r="169" spans="1:6" x14ac:dyDescent="0.25">
      <c r="A169" s="7">
        <v>44730</v>
      </c>
      <c r="B169">
        <v>1.928657384586</v>
      </c>
      <c r="C169">
        <v>56.589387643933399</v>
      </c>
      <c r="D169">
        <v>3.2958335905549201</v>
      </c>
      <c r="E169">
        <v>2.21268667407187</v>
      </c>
      <c r="F169">
        <v>58.452455534567399</v>
      </c>
    </row>
    <row r="170" spans="1:6" x14ac:dyDescent="0.25">
      <c r="A170" s="7">
        <v>44758</v>
      </c>
      <c r="B170">
        <v>1.9404332451323401</v>
      </c>
      <c r="C170">
        <v>55.9192831551022</v>
      </c>
      <c r="D170">
        <v>3.3536860632183698</v>
      </c>
      <c r="E170">
        <v>2.0164290003549801</v>
      </c>
      <c r="F170">
        <v>57.924484033843697</v>
      </c>
    </row>
    <row r="171" spans="1:6" x14ac:dyDescent="0.25">
      <c r="A171" s="7">
        <v>44786</v>
      </c>
      <c r="B171">
        <v>1.9372492409158599</v>
      </c>
      <c r="C171">
        <v>55.284224812221503</v>
      </c>
      <c r="D171">
        <v>3.3855283754432399</v>
      </c>
      <c r="E171">
        <v>2.0400810152089499</v>
      </c>
      <c r="F171">
        <v>53.302279680906501</v>
      </c>
    </row>
    <row r="172" spans="1:6" x14ac:dyDescent="0.25">
      <c r="A172" s="7">
        <v>44821</v>
      </c>
      <c r="B172">
        <v>1.92700886346194</v>
      </c>
      <c r="C172">
        <v>55.7638617757543</v>
      </c>
      <c r="D172">
        <v>3.3402318982373398</v>
      </c>
      <c r="E172">
        <v>2.1363873768330102</v>
      </c>
      <c r="F172">
        <v>61.018075341378399</v>
      </c>
    </row>
    <row r="173" spans="1:6" x14ac:dyDescent="0.25">
      <c r="A173" s="7">
        <v>44849</v>
      </c>
      <c r="B173">
        <v>1.9277207677703401</v>
      </c>
      <c r="C173">
        <v>55.1430990630748</v>
      </c>
      <c r="D173">
        <v>3.3777695387660498</v>
      </c>
      <c r="E173">
        <v>2.0811849562225802</v>
      </c>
      <c r="F173">
        <v>52.989144235661897</v>
      </c>
    </row>
    <row r="174" spans="1:6" x14ac:dyDescent="0.25">
      <c r="A174" s="7">
        <v>44877</v>
      </c>
      <c r="B174">
        <v>1.9490712299744599</v>
      </c>
      <c r="C174">
        <v>53.808570505647801</v>
      </c>
      <c r="D174">
        <v>3.4956127434802302</v>
      </c>
      <c r="E174">
        <v>2.1677943046031301</v>
      </c>
      <c r="F174">
        <v>58.337884446361301</v>
      </c>
    </row>
    <row r="175" spans="1:6" x14ac:dyDescent="0.25">
      <c r="A175" s="7">
        <v>44905</v>
      </c>
      <c r="B175">
        <v>1.95139936362135</v>
      </c>
      <c r="C175">
        <v>54.364378098054097</v>
      </c>
      <c r="D175">
        <v>3.46510241281733</v>
      </c>
      <c r="E175">
        <v>2.1884229670259598</v>
      </c>
      <c r="F175">
        <v>62.212415314311301</v>
      </c>
    </row>
    <row r="176" spans="1:6" x14ac:dyDescent="0.25">
      <c r="A176" s="7">
        <v>44940</v>
      </c>
      <c r="B176">
        <v>1.9516788631406199</v>
      </c>
      <c r="C176">
        <v>54.114321139405</v>
      </c>
      <c r="D176">
        <v>3.4810381747440702</v>
      </c>
      <c r="E176">
        <v>1.75675798330476</v>
      </c>
      <c r="F176">
        <v>49.3596137952484</v>
      </c>
    </row>
    <row r="177" spans="1:6" x14ac:dyDescent="0.25">
      <c r="A177" s="7">
        <v>44975</v>
      </c>
      <c r="B177">
        <v>1.9649413708529</v>
      </c>
      <c r="C177">
        <v>54.275170149317503</v>
      </c>
      <c r="D177">
        <v>3.4938433046104</v>
      </c>
      <c r="E177">
        <v>2.0930086234189802</v>
      </c>
      <c r="F177">
        <v>53.602789827432701</v>
      </c>
    </row>
    <row r="178" spans="1:6" x14ac:dyDescent="0.25">
      <c r="A178" s="7">
        <v>45003</v>
      </c>
      <c r="B178">
        <v>1.9817967255484601</v>
      </c>
      <c r="C178">
        <v>53.765262768108499</v>
      </c>
      <c r="D178">
        <v>3.5549798384862799</v>
      </c>
      <c r="E178">
        <v>2.17311598265462</v>
      </c>
      <c r="F178">
        <v>61.338769064292002</v>
      </c>
    </row>
    <row r="179" spans="1:6" x14ac:dyDescent="0.25">
      <c r="A179" s="7">
        <v>45031</v>
      </c>
      <c r="B179">
        <v>1.9941305973980601</v>
      </c>
      <c r="C179">
        <v>52.7571670006879</v>
      </c>
      <c r="D179">
        <v>3.6421613457208202</v>
      </c>
      <c r="E179">
        <v>1.7214643261367799</v>
      </c>
      <c r="F179">
        <v>49.680366656298503</v>
      </c>
    </row>
    <row r="180" spans="1:6" x14ac:dyDescent="0.25">
      <c r="A180" s="7">
        <v>45059</v>
      </c>
      <c r="B180">
        <v>1.98952440215288</v>
      </c>
      <c r="C180">
        <v>52.156352320616001</v>
      </c>
      <c r="D180">
        <v>3.674378406207</v>
      </c>
      <c r="E180">
        <v>1.8492384361002101</v>
      </c>
      <c r="F180">
        <v>44.626535238644699</v>
      </c>
    </row>
    <row r="181" spans="1:6" x14ac:dyDescent="0.25">
      <c r="A181" s="7">
        <v>45094</v>
      </c>
      <c r="B181">
        <v>2.0107392798582899</v>
      </c>
      <c r="C181">
        <v>51.644938451672097</v>
      </c>
      <c r="D181">
        <v>3.7474865007188098</v>
      </c>
      <c r="E181">
        <v>1.9631575400624801</v>
      </c>
      <c r="F181">
        <v>54.063210077019498</v>
      </c>
    </row>
    <row r="182" spans="1:6" x14ac:dyDescent="0.25">
      <c r="A182" s="7">
        <v>45122</v>
      </c>
      <c r="B182">
        <v>2.00126322059289</v>
      </c>
      <c r="C182">
        <v>51.655159798431903</v>
      </c>
      <c r="D182">
        <v>3.72977382387811</v>
      </c>
      <c r="E182">
        <v>1.83016817052655</v>
      </c>
      <c r="F182">
        <v>50.716760513274203</v>
      </c>
    </row>
    <row r="183" spans="1:6" x14ac:dyDescent="0.25">
      <c r="A183" s="7">
        <v>45150</v>
      </c>
      <c r="B183">
        <v>2.01682352925451</v>
      </c>
      <c r="C183">
        <v>50.405621509414601</v>
      </c>
      <c r="D183">
        <v>3.8472519314328202</v>
      </c>
      <c r="E183">
        <v>1.93886220672929</v>
      </c>
      <c r="F183">
        <v>45.779148523687503</v>
      </c>
    </row>
    <row r="184" spans="1:6" x14ac:dyDescent="0.25">
      <c r="A184" s="7">
        <v>45185</v>
      </c>
      <c r="B184">
        <v>2.0040111279797199</v>
      </c>
      <c r="C184">
        <v>50.881873269636003</v>
      </c>
      <c r="D184">
        <v>3.78931193229714</v>
      </c>
      <c r="E184">
        <v>1.8976962303309</v>
      </c>
      <c r="F184">
        <v>48.830295360208098</v>
      </c>
    </row>
    <row r="185" spans="1:6" x14ac:dyDescent="0.25">
      <c r="A185" s="7">
        <v>45213</v>
      </c>
      <c r="B185">
        <v>1.99508026436876</v>
      </c>
      <c r="C185">
        <v>50.736431445159603</v>
      </c>
      <c r="D185">
        <v>3.7834687451379398</v>
      </c>
      <c r="E185">
        <v>2.0975001099503001</v>
      </c>
      <c r="F185">
        <v>50.059232728389503</v>
      </c>
    </row>
    <row r="186" spans="1:6" x14ac:dyDescent="0.25">
      <c r="A186" s="7">
        <v>45241</v>
      </c>
      <c r="B186">
        <v>2.0186568975006298</v>
      </c>
      <c r="C186">
        <v>49.462979276231998</v>
      </c>
      <c r="D186">
        <v>3.92112032082346</v>
      </c>
      <c r="E186">
        <v>1.8892248908972</v>
      </c>
      <c r="F186">
        <v>52.186159193336799</v>
      </c>
    </row>
    <row r="187" spans="1:6" x14ac:dyDescent="0.25">
      <c r="A187" s="7">
        <v>45269</v>
      </c>
      <c r="B187">
        <v>2.0035241646402202</v>
      </c>
      <c r="C187">
        <v>50.254106820454901</v>
      </c>
      <c r="D187">
        <v>3.8339360718660802</v>
      </c>
      <c r="E187">
        <v>2.0503070770834699</v>
      </c>
      <c r="F187">
        <v>50.627447972885399</v>
      </c>
    </row>
    <row r="188" spans="1:6" x14ac:dyDescent="0.25">
      <c r="A188" s="7">
        <v>45304</v>
      </c>
      <c r="B188">
        <v>1.97912014254475</v>
      </c>
      <c r="C188">
        <v>51.568663680584599</v>
      </c>
      <c r="D188">
        <v>3.6959888929892402</v>
      </c>
      <c r="E188">
        <v>1.9888319505750101</v>
      </c>
      <c r="F188">
        <v>53.724195210128997</v>
      </c>
    </row>
    <row r="189" spans="1:6" x14ac:dyDescent="0.25">
      <c r="A189" s="7">
        <v>45339</v>
      </c>
      <c r="B189">
        <v>1.99794487581062</v>
      </c>
      <c r="C189">
        <v>50.985474158756801</v>
      </c>
      <c r="D189">
        <v>3.7708870288403298</v>
      </c>
      <c r="E189">
        <v>2.1003720353858899</v>
      </c>
      <c r="F189">
        <v>48.596054982924301</v>
      </c>
    </row>
    <row r="190" spans="1:6" x14ac:dyDescent="0.25">
      <c r="A190" s="7">
        <v>45367</v>
      </c>
      <c r="B190">
        <v>2.0198194793926199</v>
      </c>
      <c r="C190">
        <v>50.5398540618406</v>
      </c>
      <c r="D190">
        <v>3.84290720110365</v>
      </c>
      <c r="E190">
        <v>1.9760772983664701</v>
      </c>
      <c r="F190">
        <v>48.704847160952497</v>
      </c>
    </row>
    <row r="191" spans="1:6" x14ac:dyDescent="0.25">
      <c r="A191" s="7">
        <v>45395</v>
      </c>
      <c r="B191">
        <v>2.01025258014629</v>
      </c>
      <c r="C191">
        <v>49.609127174629002</v>
      </c>
      <c r="D191">
        <v>3.89437569706622</v>
      </c>
      <c r="E191">
        <v>2.1196643458276898</v>
      </c>
      <c r="F191">
        <v>53.135908085033101</v>
      </c>
    </row>
    <row r="192" spans="1:6" x14ac:dyDescent="0.25">
      <c r="A192" s="7">
        <v>45430</v>
      </c>
      <c r="B192">
        <v>2.0203408373068901</v>
      </c>
      <c r="C192">
        <v>49.284687535502997</v>
      </c>
      <c r="D192">
        <v>3.9379002436681501</v>
      </c>
      <c r="E192">
        <v>2.10109057734216</v>
      </c>
      <c r="F192">
        <v>49.424071809740497</v>
      </c>
    </row>
    <row r="193" spans="1:6" x14ac:dyDescent="0.25">
      <c r="A193" s="7">
        <v>45458</v>
      </c>
      <c r="B193">
        <v>2.0438712131206</v>
      </c>
      <c r="C193">
        <v>47.994383848140899</v>
      </c>
      <c r="D193">
        <v>4.0846172805552401</v>
      </c>
      <c r="E193">
        <v>1.8885110943969401</v>
      </c>
      <c r="F193">
        <v>41.382955363863502</v>
      </c>
    </row>
    <row r="194" spans="1:6" x14ac:dyDescent="0.25">
      <c r="A194" s="7">
        <v>45486</v>
      </c>
      <c r="B194">
        <v>2.0536524411935102</v>
      </c>
      <c r="C194">
        <v>47.605997759396402</v>
      </c>
      <c r="D194">
        <v>4.1354549073507503</v>
      </c>
      <c r="E194">
        <v>2.0972827536666698</v>
      </c>
      <c r="F194">
        <v>45.433971124429704</v>
      </c>
    </row>
    <row r="195" spans="1:6" x14ac:dyDescent="0.25">
      <c r="A195" s="7">
        <v>45521</v>
      </c>
      <c r="B195">
        <v>2.06094515609339</v>
      </c>
      <c r="C195">
        <v>46.959969822062398</v>
      </c>
      <c r="D195">
        <v>4.2042160106798798</v>
      </c>
      <c r="E195">
        <v>2.2473534047530199</v>
      </c>
      <c r="F195">
        <v>51.781912063404697</v>
      </c>
    </row>
    <row r="196" spans="1:6" x14ac:dyDescent="0.25">
      <c r="A196" s="7">
        <v>45549</v>
      </c>
      <c r="B196">
        <v>2.0560523955623999</v>
      </c>
      <c r="C196">
        <v>46.482769326500197</v>
      </c>
      <c r="D196">
        <v>4.2358926785152002</v>
      </c>
      <c r="E196">
        <v>1.95870889634179</v>
      </c>
      <c r="F196">
        <v>48.754869066452102</v>
      </c>
    </row>
    <row r="197" spans="1:6" x14ac:dyDescent="0.25">
      <c r="A197" s="7">
        <v>45577</v>
      </c>
      <c r="B197">
        <v>2.0661831856329398</v>
      </c>
      <c r="C197">
        <v>46.900312005349001</v>
      </c>
      <c r="D197">
        <v>4.2195856117010102</v>
      </c>
      <c r="E197">
        <v>1.86969713677436</v>
      </c>
      <c r="F197">
        <v>42.133278053943698</v>
      </c>
    </row>
    <row r="198" spans="1:6" x14ac:dyDescent="0.25">
      <c r="A198" s="7">
        <v>45605</v>
      </c>
      <c r="B198">
        <v>2.05236800266557</v>
      </c>
      <c r="C198">
        <v>47.781729874369098</v>
      </c>
      <c r="D198">
        <v>4.1184010348291604</v>
      </c>
      <c r="E198">
        <v>1.9386235268069101</v>
      </c>
      <c r="F198">
        <v>42.457621797585702</v>
      </c>
    </row>
    <row r="199" spans="1:6" x14ac:dyDescent="0.25">
      <c r="A199" s="7">
        <v>45633</v>
      </c>
      <c r="B199">
        <v>2.0622303317547299</v>
      </c>
      <c r="C199">
        <v>47.370779396125698</v>
      </c>
      <c r="D199">
        <v>4.17176769755054</v>
      </c>
      <c r="E199">
        <v>1.9595128396592201</v>
      </c>
      <c r="F199">
        <v>47.762179667420703</v>
      </c>
    </row>
    <row r="200" spans="1:6" x14ac:dyDescent="0.25">
      <c r="A200" s="7">
        <v>45675</v>
      </c>
      <c r="B200">
        <v>2.04709432728695</v>
      </c>
      <c r="C200">
        <v>47.532908658647699</v>
      </c>
      <c r="D200">
        <v>4.1288709237627401</v>
      </c>
      <c r="E200">
        <v>2.0185607882052499</v>
      </c>
      <c r="F200">
        <v>49.783712300042701</v>
      </c>
    </row>
    <row r="201" spans="1:6" x14ac:dyDescent="0.25">
      <c r="A201" s="7">
        <v>45703</v>
      </c>
      <c r="B201">
        <v>2.0456879240591999</v>
      </c>
      <c r="C201">
        <v>47.599183135616201</v>
      </c>
      <c r="D201">
        <v>4.1206430400437304</v>
      </c>
      <c r="E201">
        <v>2.0578873333639001</v>
      </c>
      <c r="F201">
        <v>44.561362225675801</v>
      </c>
    </row>
    <row r="202" spans="1:6" x14ac:dyDescent="0.25">
      <c r="A202" s="7">
        <v>45731</v>
      </c>
      <c r="B202">
        <v>2.0525957968848298</v>
      </c>
      <c r="C202">
        <v>47.119774168371698</v>
      </c>
      <c r="D202">
        <v>4.1742868979776997</v>
      </c>
      <c r="E202">
        <v>2.10667169363363</v>
      </c>
      <c r="F202">
        <v>48.085508671228197</v>
      </c>
    </row>
    <row r="203" spans="1:6" x14ac:dyDescent="0.25">
      <c r="A203" s="7">
        <v>45759</v>
      </c>
      <c r="B203">
        <v>2.0484043684761999</v>
      </c>
      <c r="C203">
        <v>47.350828395154203</v>
      </c>
      <c r="D203">
        <v>4.1466319492806099</v>
      </c>
      <c r="E203">
        <v>1.9077452351988</v>
      </c>
      <c r="F203">
        <v>43.637251981956801</v>
      </c>
    </row>
    <row r="204" spans="1:6" x14ac:dyDescent="0.25">
      <c r="A204" s="7">
        <v>45794</v>
      </c>
      <c r="B204">
        <v>2.06703755947597</v>
      </c>
      <c r="C204">
        <v>46.146593952506102</v>
      </c>
      <c r="D204">
        <v>4.2872471843616902</v>
      </c>
      <c r="E204">
        <v>2.2144703593577599</v>
      </c>
      <c r="F204">
        <v>48.642507770749603</v>
      </c>
    </row>
    <row r="205" spans="1:6" x14ac:dyDescent="0.25">
      <c r="A205" s="7">
        <v>45822</v>
      </c>
      <c r="B205">
        <v>2.0798657977638801</v>
      </c>
      <c r="C205">
        <v>45.837512539415499</v>
      </c>
      <c r="D205">
        <v>4.3405250244045597</v>
      </c>
      <c r="E205">
        <v>2.0284282924494401</v>
      </c>
      <c r="F205">
        <v>49.021534683045402</v>
      </c>
    </row>
    <row r="206" spans="1:6" x14ac:dyDescent="0.25">
      <c r="A206" s="7">
        <v>45850</v>
      </c>
      <c r="B206">
        <v>2.0626599275192801</v>
      </c>
      <c r="C206">
        <v>45.703026780817197</v>
      </c>
      <c r="D206">
        <v>4.3182880215125001</v>
      </c>
      <c r="E206">
        <v>2.0116722163937801</v>
      </c>
      <c r="F206">
        <v>42.767766843312998</v>
      </c>
    </row>
    <row r="207" spans="1:6" x14ac:dyDescent="0.25">
      <c r="A207" s="7">
        <v>45885</v>
      </c>
      <c r="B207">
        <v>2.0814367705456398</v>
      </c>
      <c r="C207">
        <v>45.528497720606701</v>
      </c>
      <c r="D207">
        <v>4.3718538846812596</v>
      </c>
      <c r="E207">
        <v>2.2032430784624299</v>
      </c>
      <c r="F207">
        <v>47.795595743623103</v>
      </c>
    </row>
    <row r="208" spans="1:6" x14ac:dyDescent="0.25">
      <c r="A208" s="7">
        <v>45913</v>
      </c>
      <c r="B208">
        <v>2.0877735791338399</v>
      </c>
      <c r="C208">
        <v>44.9050876181742</v>
      </c>
      <c r="D208">
        <v>4.4427462511123599</v>
      </c>
      <c r="E208">
        <v>1.89504951238913</v>
      </c>
      <c r="F208">
        <v>38.616475901290798</v>
      </c>
    </row>
    <row r="209" spans="1:6" x14ac:dyDescent="0.25">
      <c r="A209" s="7">
        <v>45948</v>
      </c>
      <c r="B209">
        <v>2.0994893776282102</v>
      </c>
      <c r="C209">
        <v>44.967914837983997</v>
      </c>
      <c r="D209">
        <v>4.4606015832328598</v>
      </c>
    </row>
    <row r="210" spans="1:6" x14ac:dyDescent="0.25">
      <c r="A210" s="7">
        <v>45976</v>
      </c>
      <c r="B210">
        <v>2.0987120055698201</v>
      </c>
      <c r="C210">
        <v>44.951131386787999</v>
      </c>
      <c r="D210">
        <v>4.4606142215357698</v>
      </c>
    </row>
    <row r="211" spans="1:6" x14ac:dyDescent="0.25">
      <c r="A211" s="7">
        <v>46004</v>
      </c>
      <c r="B211">
        <v>2.0941848560733698</v>
      </c>
      <c r="C211">
        <v>45.197235871461601</v>
      </c>
      <c r="D211">
        <v>4.4282553238119302</v>
      </c>
      <c r="E211">
        <v>2.0347166386895301</v>
      </c>
      <c r="F211">
        <v>47.316812204368503</v>
      </c>
    </row>
    <row r="212" spans="1:6" x14ac:dyDescent="0.25">
      <c r="A212" s="7">
        <v>46039</v>
      </c>
      <c r="B212">
        <v>2.0720171581120099</v>
      </c>
      <c r="C212">
        <v>45.2589617809098</v>
      </c>
      <c r="D212">
        <v>4.3777187891707596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ColWidth="11.42578125" defaultRowHeight="15" x14ac:dyDescent="0.25"/>
  <cols>
    <col min="2" max="16" width="11.85546875" customWidth="1"/>
  </cols>
  <sheetData>
    <row r="1" spans="1:19" x14ac:dyDescent="0.25">
      <c r="A1" s="10"/>
      <c r="B1" s="36" t="s">
        <v>1</v>
      </c>
      <c r="C1" s="37"/>
      <c r="D1" s="37"/>
      <c r="E1" s="37"/>
      <c r="F1" s="38"/>
      <c r="G1" s="36" t="s">
        <v>2</v>
      </c>
      <c r="H1" s="37"/>
      <c r="I1" s="37"/>
      <c r="J1" s="37"/>
      <c r="K1" s="38"/>
      <c r="L1" s="36" t="s">
        <v>97</v>
      </c>
      <c r="M1" s="37"/>
      <c r="N1" s="37"/>
      <c r="O1" s="37"/>
      <c r="P1" s="38"/>
      <c r="Q1" s="12" t="s">
        <v>89</v>
      </c>
    </row>
    <row r="2" spans="1:19" x14ac:dyDescent="0.25">
      <c r="A2" s="21" t="s">
        <v>105</v>
      </c>
      <c r="B2" s="22" t="s">
        <v>111</v>
      </c>
      <c r="C2" s="22" t="s">
        <v>112</v>
      </c>
      <c r="D2" s="11" t="s">
        <v>113</v>
      </c>
      <c r="E2" s="22" t="s">
        <v>114</v>
      </c>
      <c r="F2" s="21" t="s">
        <v>115</v>
      </c>
      <c r="G2" s="14" t="s">
        <v>116</v>
      </c>
      <c r="H2" s="22" t="s">
        <v>117</v>
      </c>
      <c r="I2" s="11" t="s">
        <v>118</v>
      </c>
      <c r="J2" s="22" t="s">
        <v>119</v>
      </c>
      <c r="K2" s="21" t="s">
        <v>120</v>
      </c>
      <c r="L2" s="22" t="s">
        <v>121</v>
      </c>
      <c r="M2" s="22" t="s">
        <v>122</v>
      </c>
      <c r="N2" s="19" t="s">
        <v>123</v>
      </c>
      <c r="O2" s="22" t="s">
        <v>124</v>
      </c>
      <c r="P2" s="22" t="s">
        <v>125</v>
      </c>
      <c r="Q2" s="13" t="s">
        <v>126</v>
      </c>
    </row>
    <row r="3" spans="1:19" x14ac:dyDescent="0.25">
      <c r="A3" s="7">
        <v>45913</v>
      </c>
      <c r="B3">
        <v>4.18</v>
      </c>
      <c r="C3">
        <v>4.2300000000000004</v>
      </c>
      <c r="D3" s="11">
        <v>4.32</v>
      </c>
      <c r="E3">
        <v>4.41</v>
      </c>
      <c r="F3" s="23">
        <v>4.46</v>
      </c>
      <c r="G3" s="15">
        <v>4.2</v>
      </c>
      <c r="H3" s="1">
        <v>4.25</v>
      </c>
      <c r="I3" s="11">
        <v>4.34</v>
      </c>
      <c r="J3" s="1">
        <v>4.43</v>
      </c>
      <c r="K3" s="9">
        <v>4.4800000000000004</v>
      </c>
      <c r="P3" s="23"/>
      <c r="Q3" s="23">
        <v>4.4400000000000004</v>
      </c>
      <c r="S3" s="1"/>
    </row>
    <row r="4" spans="1:19" x14ac:dyDescent="0.25">
      <c r="A4" s="7">
        <v>45948</v>
      </c>
      <c r="B4">
        <v>4.07</v>
      </c>
      <c r="C4">
        <v>4.16</v>
      </c>
      <c r="D4" s="11">
        <v>4.3499999999999996</v>
      </c>
      <c r="E4">
        <v>4.53</v>
      </c>
      <c r="F4" s="9">
        <v>4.62</v>
      </c>
      <c r="G4" s="16">
        <v>4.08</v>
      </c>
      <c r="H4" s="1">
        <v>4.18</v>
      </c>
      <c r="I4" s="11">
        <v>4.3600000000000003</v>
      </c>
      <c r="J4" s="1">
        <v>4.54</v>
      </c>
      <c r="K4" s="9">
        <v>4.6399999999999997</v>
      </c>
      <c r="L4" s="1">
        <v>4.32</v>
      </c>
      <c r="M4" s="1">
        <v>4.37</v>
      </c>
      <c r="N4" s="1">
        <v>4.46</v>
      </c>
      <c r="O4" s="1">
        <v>4.55</v>
      </c>
      <c r="P4" s="9">
        <v>4.59</v>
      </c>
      <c r="R4" s="20"/>
      <c r="S4" s="1"/>
    </row>
    <row r="5" spans="1:19" x14ac:dyDescent="0.25">
      <c r="A5" s="7">
        <v>45976</v>
      </c>
      <c r="B5">
        <v>4.16</v>
      </c>
      <c r="C5">
        <v>4.26</v>
      </c>
      <c r="D5" s="11">
        <v>4.4400000000000004</v>
      </c>
      <c r="E5">
        <v>4.62</v>
      </c>
      <c r="F5" s="9">
        <v>4.72</v>
      </c>
      <c r="G5" s="16">
        <v>4.16</v>
      </c>
      <c r="H5" s="1">
        <v>4.26</v>
      </c>
      <c r="I5" s="11">
        <v>4.4400000000000004</v>
      </c>
      <c r="J5" s="1">
        <v>4.62</v>
      </c>
      <c r="K5" s="9">
        <v>4.72</v>
      </c>
      <c r="L5" s="1"/>
      <c r="M5" s="1"/>
      <c r="N5" s="1"/>
      <c r="O5" s="1"/>
      <c r="P5" s="9"/>
      <c r="Q5">
        <v>4.54</v>
      </c>
      <c r="R5" s="20"/>
      <c r="S5" s="1"/>
    </row>
    <row r="6" spans="1:19" x14ac:dyDescent="0.25">
      <c r="A6" s="7">
        <v>46004</v>
      </c>
      <c r="B6">
        <v>4.41</v>
      </c>
      <c r="C6">
        <v>4.46</v>
      </c>
      <c r="D6" s="11">
        <v>4.5599999999999996</v>
      </c>
      <c r="E6">
        <v>4.6399999999999997</v>
      </c>
      <c r="F6" s="9">
        <v>4.6900000000000004</v>
      </c>
      <c r="G6">
        <v>4.42</v>
      </c>
      <c r="H6">
        <v>4.47</v>
      </c>
      <c r="I6" s="11">
        <v>4.5599999999999996</v>
      </c>
      <c r="J6">
        <v>4.6500000000000004</v>
      </c>
      <c r="K6" s="17">
        <v>4.7</v>
      </c>
      <c r="P6" s="9"/>
      <c r="Q6" s="18">
        <v>4.38</v>
      </c>
      <c r="S6" s="1"/>
    </row>
    <row r="7" spans="1:19" x14ac:dyDescent="0.25">
      <c r="A7" s="7">
        <v>46039</v>
      </c>
      <c r="B7">
        <v>4.21</v>
      </c>
      <c r="C7">
        <v>4.26</v>
      </c>
      <c r="D7" s="11">
        <v>4.3499999999999996</v>
      </c>
      <c r="E7">
        <v>4.4400000000000004</v>
      </c>
      <c r="F7" s="43">
        <v>4.49</v>
      </c>
      <c r="I7" s="11"/>
      <c r="K7" s="43"/>
      <c r="P7" s="43"/>
      <c r="S7" s="1"/>
    </row>
  </sheetData>
  <mergeCells count="3">
    <mergeCell ref="B1:F1"/>
    <mergeCell ref="G1:K1"/>
    <mergeCell ref="L1:P1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2" sqref="D12"/>
    </sheetView>
  </sheetViews>
  <sheetFormatPr defaultColWidth="11.42578125" defaultRowHeight="15" x14ac:dyDescent="0.25"/>
  <cols>
    <col min="3" max="5" width="16.7109375" customWidth="1"/>
  </cols>
  <sheetData>
    <row r="1" spans="1:7" x14ac:dyDescent="0.25">
      <c r="A1" s="11"/>
      <c r="B1" s="11"/>
      <c r="C1" s="37" t="s">
        <v>53</v>
      </c>
      <c r="D1" s="38"/>
      <c r="E1" s="11"/>
    </row>
    <row r="2" spans="1:7" x14ac:dyDescent="0.25">
      <c r="A2" s="25" t="s">
        <v>105</v>
      </c>
      <c r="B2" s="26" t="s">
        <v>127</v>
      </c>
      <c r="C2" s="25" t="s">
        <v>107</v>
      </c>
      <c r="D2" s="26" t="s">
        <v>106</v>
      </c>
      <c r="E2" s="25" t="s">
        <v>128</v>
      </c>
    </row>
    <row r="3" spans="1:7" x14ac:dyDescent="0.25">
      <c r="A3" s="27">
        <v>45913</v>
      </c>
      <c r="B3" s="27" t="s">
        <v>129</v>
      </c>
      <c r="C3" s="28">
        <v>0</v>
      </c>
      <c r="D3" s="29">
        <v>0</v>
      </c>
      <c r="E3" s="28">
        <v>4.32</v>
      </c>
    </row>
    <row r="4" spans="1:7" x14ac:dyDescent="0.25">
      <c r="A4" s="7">
        <v>45913</v>
      </c>
      <c r="B4" t="s">
        <v>130</v>
      </c>
      <c r="C4">
        <v>0.01</v>
      </c>
      <c r="D4" s="30">
        <v>0</v>
      </c>
      <c r="E4">
        <v>4.34</v>
      </c>
    </row>
    <row r="5" spans="1:7" x14ac:dyDescent="0.25">
      <c r="A5" s="7">
        <v>45948</v>
      </c>
      <c r="B5" t="s">
        <v>129</v>
      </c>
      <c r="C5">
        <v>0.01</v>
      </c>
      <c r="D5" s="9">
        <v>0.01</v>
      </c>
      <c r="E5">
        <v>4.3499999999999996</v>
      </c>
      <c r="G5" s="4" t="s">
        <v>56</v>
      </c>
    </row>
    <row r="6" spans="1:7" x14ac:dyDescent="0.25">
      <c r="A6" s="7">
        <v>45948</v>
      </c>
      <c r="B6" t="s">
        <v>130</v>
      </c>
      <c r="C6">
        <v>0.02</v>
      </c>
      <c r="D6" s="9">
        <v>0.01</v>
      </c>
      <c r="E6">
        <v>4.3600000000000003</v>
      </c>
      <c r="G6" s="4" t="s">
        <v>56</v>
      </c>
    </row>
    <row r="7" spans="1:7" x14ac:dyDescent="0.25">
      <c r="A7" s="7">
        <v>45976</v>
      </c>
      <c r="B7" t="s">
        <v>129</v>
      </c>
      <c r="C7" s="31">
        <v>0</v>
      </c>
      <c r="D7" s="30">
        <v>2E-3</v>
      </c>
      <c r="E7" s="24">
        <v>4.4420000000000002</v>
      </c>
      <c r="G7" s="4" t="s">
        <v>88</v>
      </c>
    </row>
    <row r="8" spans="1:7" x14ac:dyDescent="0.25">
      <c r="A8" s="7">
        <v>45976</v>
      </c>
      <c r="B8" t="s">
        <v>130</v>
      </c>
      <c r="C8" s="31">
        <v>-3.0000000000000001E-3</v>
      </c>
      <c r="D8" s="30">
        <v>3.0000000000000001E-3</v>
      </c>
      <c r="E8" s="24">
        <v>4.4400000000000004</v>
      </c>
      <c r="G8" s="4" t="s">
        <v>88</v>
      </c>
    </row>
    <row r="9" spans="1:7" x14ac:dyDescent="0.25">
      <c r="A9" s="7">
        <v>46004</v>
      </c>
      <c r="B9" t="s">
        <v>129</v>
      </c>
      <c r="C9">
        <v>-7.0000000000000001E-3</v>
      </c>
      <c r="D9" s="9">
        <v>-2E-3</v>
      </c>
      <c r="E9" s="24">
        <v>4.556</v>
      </c>
    </row>
    <row r="10" spans="1:7" x14ac:dyDescent="0.25">
      <c r="A10" s="7">
        <v>46004</v>
      </c>
      <c r="B10" t="s">
        <v>130</v>
      </c>
      <c r="C10">
        <v>3.0000000000000001E-3</v>
      </c>
      <c r="D10" s="9">
        <v>-4.0000000000000001E-3</v>
      </c>
      <c r="E10" s="24">
        <v>4.5629999999999997</v>
      </c>
    </row>
    <row r="11" spans="1:7" x14ac:dyDescent="0.25">
      <c r="A11" s="7">
        <v>46039</v>
      </c>
      <c r="B11" t="s">
        <v>129</v>
      </c>
      <c r="C11" s="44">
        <v>-3.0000000000000001E-3</v>
      </c>
      <c r="D11" s="45">
        <v>-1.7999999999999999E-2</v>
      </c>
      <c r="E11" s="44">
        <v>4.3544999999999998</v>
      </c>
    </row>
  </sheetData>
  <mergeCells count="1">
    <mergeCell ref="C1:D1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1" sqref="I11"/>
    </sheetView>
  </sheetViews>
  <sheetFormatPr defaultColWidth="11.42578125" defaultRowHeight="15" x14ac:dyDescent="0.25"/>
  <cols>
    <col min="3" max="14" width="13.85546875" customWidth="1"/>
  </cols>
  <sheetData>
    <row r="1" spans="1:30" x14ac:dyDescent="0.25">
      <c r="C1" s="37" t="s">
        <v>57</v>
      </c>
      <c r="D1" s="37"/>
      <c r="E1" s="37"/>
      <c r="F1" s="37"/>
      <c r="G1" s="37"/>
      <c r="H1" s="37"/>
      <c r="I1" s="38"/>
      <c r="J1" s="39" t="s">
        <v>69</v>
      </c>
      <c r="K1" s="40"/>
      <c r="L1" s="40"/>
      <c r="M1" s="40"/>
      <c r="N1" s="41"/>
      <c r="O1" s="39" t="s">
        <v>70</v>
      </c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1"/>
    </row>
    <row r="2" spans="1:30" x14ac:dyDescent="0.25">
      <c r="A2" s="22" t="s">
        <v>105</v>
      </c>
      <c r="B2" s="21" t="s">
        <v>127</v>
      </c>
      <c r="C2" s="22" t="s">
        <v>131</v>
      </c>
      <c r="D2" s="22" t="s">
        <v>132</v>
      </c>
      <c r="E2" s="22" t="s">
        <v>133</v>
      </c>
      <c r="F2" s="22" t="s">
        <v>134</v>
      </c>
      <c r="G2" s="22" t="s">
        <v>135</v>
      </c>
      <c r="H2" s="22" t="s">
        <v>136</v>
      </c>
      <c r="I2" s="21" t="s">
        <v>137</v>
      </c>
      <c r="J2" s="14" t="s">
        <v>59</v>
      </c>
      <c r="K2" s="22" t="str">
        <f>"-0.4 to -0.2 pp"</f>
        <v>-0.4 to -0.2 pp</v>
      </c>
      <c r="L2" s="22" t="str">
        <f>"-0.1 to +0.1 pp"</f>
        <v>-0.1 to +0.1 pp</v>
      </c>
      <c r="M2" s="22" t="str">
        <f>"+0.2 to +0.4 pp"</f>
        <v>+0.2 to +0.4 pp</v>
      </c>
      <c r="N2" s="21" t="s">
        <v>60</v>
      </c>
      <c r="O2" s="35" t="s">
        <v>71</v>
      </c>
      <c r="P2" s="22" t="str">
        <f>"-0.6 pp"</f>
        <v>-0.6 pp</v>
      </c>
      <c r="Q2" s="22" t="str">
        <f>"-0.5 pp"</f>
        <v>-0.5 pp</v>
      </c>
      <c r="R2" s="22" t="str">
        <f>"-0.4 pp"</f>
        <v>-0.4 pp</v>
      </c>
      <c r="S2" s="22" t="str">
        <f>"-0.3 pp"</f>
        <v>-0.3 pp</v>
      </c>
      <c r="T2" s="22" t="str">
        <f>"-0.2 pp"</f>
        <v>-0.2 pp</v>
      </c>
      <c r="U2" s="22" t="str">
        <f>"-0.1 pp"</f>
        <v>-0.1 pp</v>
      </c>
      <c r="V2" s="25" t="s">
        <v>8</v>
      </c>
      <c r="W2" s="22" t="str">
        <f>"0.1 pp"</f>
        <v>0.1 pp</v>
      </c>
      <c r="X2" s="22" t="str">
        <f>"0.2 pp"</f>
        <v>0.2 pp</v>
      </c>
      <c r="Y2" s="22" t="str">
        <f>"0.3 pp"</f>
        <v>0.3 pp</v>
      </c>
      <c r="Z2" s="22" t="str">
        <f>"0.4 pp"</f>
        <v>0.4 pp</v>
      </c>
      <c r="AA2" s="22" t="str">
        <f>"0.5 pp"</f>
        <v>0.5 pp</v>
      </c>
      <c r="AB2" s="22" t="str">
        <f>"0.6 pp"</f>
        <v>0.6 pp</v>
      </c>
      <c r="AC2" s="26" t="s">
        <v>87</v>
      </c>
    </row>
    <row r="3" spans="1:30" x14ac:dyDescent="0.25">
      <c r="A3" s="7">
        <v>45913</v>
      </c>
      <c r="B3" t="s">
        <v>129</v>
      </c>
      <c r="C3">
        <v>4.0999999999999996</v>
      </c>
      <c r="D3">
        <v>8</v>
      </c>
      <c r="E3">
        <v>18.899999999999999</v>
      </c>
      <c r="F3">
        <v>27.7</v>
      </c>
      <c r="G3">
        <v>24.4</v>
      </c>
      <c r="H3">
        <v>11</v>
      </c>
      <c r="I3" s="9">
        <v>5.9</v>
      </c>
      <c r="J3" s="16"/>
      <c r="K3" s="1"/>
      <c r="L3" s="1"/>
      <c r="M3" s="1"/>
      <c r="N3" s="9"/>
      <c r="O3" s="16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9"/>
    </row>
    <row r="4" spans="1:30" x14ac:dyDescent="0.25">
      <c r="A4" s="7">
        <v>45913</v>
      </c>
      <c r="B4" t="s">
        <v>130</v>
      </c>
      <c r="C4">
        <v>3.5</v>
      </c>
      <c r="D4">
        <v>6.1</v>
      </c>
      <c r="E4">
        <v>15.4</v>
      </c>
      <c r="F4">
        <v>28.2</v>
      </c>
      <c r="G4">
        <v>26.5</v>
      </c>
      <c r="H4">
        <v>12.8</v>
      </c>
      <c r="I4" s="9">
        <v>7.5</v>
      </c>
      <c r="J4" s="16"/>
      <c r="K4" s="1"/>
      <c r="L4" s="1"/>
      <c r="M4" s="1"/>
      <c r="N4" s="9"/>
      <c r="O4" s="16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9"/>
    </row>
    <row r="5" spans="1:30" x14ac:dyDescent="0.25">
      <c r="A5" s="7">
        <v>45948</v>
      </c>
      <c r="B5" t="s">
        <v>129</v>
      </c>
      <c r="I5" s="9"/>
      <c r="J5" s="32">
        <v>4.7</v>
      </c>
      <c r="K5" s="33">
        <v>19</v>
      </c>
      <c r="L5" s="33">
        <v>41.7</v>
      </c>
      <c r="M5" s="33">
        <v>26.8</v>
      </c>
      <c r="N5" s="34">
        <v>7.7</v>
      </c>
      <c r="O5" s="32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9"/>
      <c r="AD5" s="4" t="s">
        <v>58</v>
      </c>
    </row>
    <row r="6" spans="1:30" x14ac:dyDescent="0.25">
      <c r="A6" s="7">
        <v>45948</v>
      </c>
      <c r="B6" t="s">
        <v>130</v>
      </c>
      <c r="I6" s="9"/>
      <c r="J6" s="16">
        <v>4.5</v>
      </c>
      <c r="K6" s="1">
        <v>17.100000000000001</v>
      </c>
      <c r="L6" s="1">
        <v>41.8</v>
      </c>
      <c r="M6" s="1">
        <v>27.7</v>
      </c>
      <c r="N6" s="9">
        <v>8.9</v>
      </c>
      <c r="AC6" s="9"/>
      <c r="AD6" s="4" t="s">
        <v>58</v>
      </c>
    </row>
    <row r="7" spans="1:30" x14ac:dyDescent="0.25">
      <c r="A7" s="7">
        <v>45976</v>
      </c>
      <c r="B7" t="s">
        <v>129</v>
      </c>
      <c r="I7" s="9"/>
      <c r="N7" s="9"/>
      <c r="O7" s="16">
        <v>2.7</v>
      </c>
      <c r="P7" s="1">
        <v>0.5</v>
      </c>
      <c r="Q7" s="1">
        <v>1.6</v>
      </c>
      <c r="R7" s="1">
        <v>3.9</v>
      </c>
      <c r="S7" s="1">
        <v>6.3</v>
      </c>
      <c r="T7" s="1">
        <v>8.6999999999999993</v>
      </c>
      <c r="U7" s="1">
        <v>12.8</v>
      </c>
      <c r="V7" s="1">
        <v>14.5</v>
      </c>
      <c r="W7" s="1">
        <v>14.3</v>
      </c>
      <c r="X7" s="1">
        <v>12.7</v>
      </c>
      <c r="Y7" s="1">
        <v>8.3000000000000007</v>
      </c>
      <c r="Z7" s="1">
        <v>5.7</v>
      </c>
      <c r="AA7" s="1">
        <v>3.4</v>
      </c>
      <c r="AB7" s="1">
        <v>1.4</v>
      </c>
      <c r="AC7" s="9">
        <v>3.1</v>
      </c>
      <c r="AD7" s="4" t="s">
        <v>58</v>
      </c>
    </row>
    <row r="8" spans="1:30" x14ac:dyDescent="0.25">
      <c r="A8" s="7">
        <v>45976</v>
      </c>
      <c r="B8" t="s">
        <v>130</v>
      </c>
      <c r="C8" s="16"/>
      <c r="I8" s="9"/>
      <c r="N8" s="9"/>
      <c r="O8">
        <v>2.7</v>
      </c>
      <c r="P8">
        <v>0.6</v>
      </c>
      <c r="Q8">
        <v>1.7</v>
      </c>
      <c r="R8">
        <v>3.9</v>
      </c>
      <c r="S8">
        <v>6.3</v>
      </c>
      <c r="T8">
        <v>8.9</v>
      </c>
      <c r="U8">
        <v>12.7</v>
      </c>
      <c r="V8">
        <v>14.6</v>
      </c>
      <c r="W8">
        <v>14.4</v>
      </c>
      <c r="X8">
        <v>12.5</v>
      </c>
      <c r="Y8">
        <v>8.1999999999999993</v>
      </c>
      <c r="Z8">
        <v>5.7</v>
      </c>
      <c r="AA8">
        <v>3.4</v>
      </c>
      <c r="AB8">
        <v>1.4</v>
      </c>
      <c r="AC8" s="9">
        <v>3.1</v>
      </c>
      <c r="AD8" s="4"/>
    </row>
    <row r="9" spans="1:30" x14ac:dyDescent="0.25">
      <c r="A9" s="7">
        <v>46004</v>
      </c>
      <c r="B9" t="s">
        <v>129</v>
      </c>
      <c r="C9" s="33">
        <v>8</v>
      </c>
      <c r="D9">
        <v>14.2</v>
      </c>
      <c r="E9">
        <v>26.9</v>
      </c>
      <c r="F9">
        <v>27.2</v>
      </c>
      <c r="G9">
        <v>14.9</v>
      </c>
      <c r="H9">
        <v>5.5</v>
      </c>
      <c r="I9" s="9">
        <v>3.2</v>
      </c>
      <c r="N9" s="9"/>
      <c r="AC9" s="9"/>
    </row>
    <row r="10" spans="1:30" x14ac:dyDescent="0.25">
      <c r="A10" s="7">
        <v>46004</v>
      </c>
      <c r="B10" t="s">
        <v>130</v>
      </c>
      <c r="C10">
        <v>7.3</v>
      </c>
      <c r="D10">
        <v>13.5</v>
      </c>
      <c r="E10">
        <v>26.3</v>
      </c>
      <c r="F10">
        <v>27.5</v>
      </c>
      <c r="G10">
        <v>15.9</v>
      </c>
      <c r="H10">
        <v>6.1</v>
      </c>
      <c r="I10" s="9">
        <v>3.4</v>
      </c>
      <c r="N10" s="9"/>
      <c r="AC10" s="9"/>
    </row>
    <row r="11" spans="1:30" x14ac:dyDescent="0.25">
      <c r="A11" s="7">
        <v>46039</v>
      </c>
      <c r="B11" t="s">
        <v>129</v>
      </c>
      <c r="C11">
        <v>8.3000000000000007</v>
      </c>
      <c r="D11">
        <v>14.2</v>
      </c>
      <c r="E11">
        <v>26.9</v>
      </c>
      <c r="F11">
        <v>27.1</v>
      </c>
      <c r="G11">
        <v>14.8</v>
      </c>
      <c r="H11">
        <v>5.4</v>
      </c>
      <c r="I11">
        <v>3.3</v>
      </c>
      <c r="J11" s="42"/>
      <c r="N11" s="43"/>
      <c r="AC11" s="43"/>
    </row>
    <row r="15" spans="1:30" x14ac:dyDescent="0.25">
      <c r="L15" s="1"/>
    </row>
  </sheetData>
  <mergeCells count="3">
    <mergeCell ref="C1:I1"/>
    <mergeCell ref="J1:N1"/>
    <mergeCell ref="O1:AC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Contents</vt:lpstr>
      <vt:lpstr>1. Rates</vt:lpstr>
      <vt:lpstr>2. Chicago Fed Real-Time UR</vt:lpstr>
      <vt:lpstr>3. Real-Time UR Contributions</vt:lpstr>
      <vt:lpstr>4. Real-Time UR Probs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2019-01-24T21:49:13Z</dcterms:created>
  <dcterms:modified xsi:type="dcterms:W3CDTF">2026-01-28T16:28:49Z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{29B725BC-BBCA-4F03-9B0E-86D7A0DDCA27}</vt:lpwstr>
  </property>
</Properties>
</file>